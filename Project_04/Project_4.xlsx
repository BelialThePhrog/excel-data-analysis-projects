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pe\OneDrive\Desktop\EXCEL\peojkt_4\"/>
    </mc:Choice>
  </mc:AlternateContent>
  <xr:revisionPtr revIDLastSave="0" documentId="13_ncr:1_{9C05CCE2-F64B-4801-A620-59E4CB7330CE}" xr6:coauthVersionLast="47" xr6:coauthVersionMax="47" xr10:uidLastSave="{00000000-0000-0000-0000-000000000000}"/>
  <bookViews>
    <workbookView xWindow="-120" yWindow="-120" windowWidth="38640" windowHeight="21120" activeTab="4" xr2:uid="{880EAA2D-B025-4863-9A29-C10F24868764}"/>
  </bookViews>
  <sheets>
    <sheet name="Forecast_Sheet_Data" sheetId="4" r:id="rId1"/>
    <sheet name="Hisotrical_Data" sheetId="2" r:id="rId2"/>
    <sheet name="PVT_Historical_Data" sheetId="3" r:id="rId3"/>
    <sheet name="Data_For_WhatIf" sheetId="5" r:id="rId4"/>
    <sheet name="Scenario Summary" sheetId="8" r:id="rId5"/>
  </sheets>
  <definedNames>
    <definedName name="ExternalData_1" localSheetId="3" hidden="1">Data_For_WhatIf!$A$1:$B$5</definedName>
    <definedName name="ExternalData_1" localSheetId="1" hidden="1">Hisotrical_Data!$A$1:$B$49</definedName>
    <definedName name="Fixed_Costs">Data_For_WhatIf!$I$6</definedName>
    <definedName name="Profit">Data_For_WhatIf!$I$7</definedName>
    <definedName name="Unit_Price">Data_For_WhatIf!$I$3</definedName>
    <definedName name="Variable_Cost_per_Unit">Data_For_WhatIf!$I$4</definedName>
    <definedName name="Volume_Sold">Data_For_WhatIf!$I$5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" l="1"/>
  <c r="I5" i="5"/>
  <c r="I3" i="5"/>
  <c r="C50" i="4"/>
  <c r="C51" i="4"/>
  <c r="C52" i="4"/>
  <c r="C53" i="4"/>
  <c r="C54" i="4"/>
  <c r="C55" i="4"/>
  <c r="C56" i="4"/>
  <c r="C57" i="4"/>
  <c r="C59" i="4"/>
  <c r="C60" i="4"/>
  <c r="C61" i="4"/>
  <c r="C62" i="4"/>
  <c r="C68" i="4"/>
  <c r="C69" i="4"/>
  <c r="C71" i="4"/>
  <c r="C73" i="4"/>
  <c r="C58" i="4"/>
  <c r="C63" i="4"/>
  <c r="C64" i="4"/>
  <c r="C65" i="4"/>
  <c r="C66" i="4"/>
  <c r="C67" i="4"/>
  <c r="C70" i="4"/>
  <c r="C72" i="4"/>
  <c r="I7" i="5" l="1"/>
  <c r="E72" i="4"/>
  <c r="E60" i="4"/>
  <c r="D72" i="4"/>
  <c r="D60" i="4"/>
  <c r="E70" i="4"/>
  <c r="D59" i="4"/>
  <c r="D70" i="4"/>
  <c r="E59" i="4"/>
  <c r="E67" i="4"/>
  <c r="D57" i="4"/>
  <c r="D67" i="4"/>
  <c r="E57" i="4"/>
  <c r="D66" i="4"/>
  <c r="D56" i="4"/>
  <c r="E66" i="4"/>
  <c r="E56" i="4"/>
  <c r="E65" i="4"/>
  <c r="D55" i="4"/>
  <c r="D65" i="4"/>
  <c r="E55" i="4"/>
  <c r="E64" i="4"/>
  <c r="E54" i="4"/>
  <c r="D64" i="4"/>
  <c r="D54" i="4"/>
  <c r="E63" i="4"/>
  <c r="E53" i="4"/>
  <c r="D63" i="4"/>
  <c r="D53" i="4"/>
  <c r="D58" i="4"/>
  <c r="D52" i="4"/>
  <c r="E58" i="4"/>
  <c r="E52" i="4"/>
  <c r="E51" i="4"/>
  <c r="D73" i="4"/>
  <c r="D71" i="4"/>
  <c r="E50" i="4"/>
  <c r="E71" i="4"/>
  <c r="D50" i="4"/>
  <c r="E69" i="4"/>
  <c r="E68" i="4"/>
  <c r="D62" i="4"/>
  <c r="D61" i="4"/>
  <c r="D51" i="4"/>
  <c r="E62" i="4"/>
  <c r="E73" i="4"/>
  <c r="D69" i="4"/>
  <c r="D68" i="4"/>
  <c r="E6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68395-D834-4AE1-8477-CC8D5ABE3846}" keepAlive="1" name="Query - gemini-code-1785314740702" description="Connection to the 'gemini-code-1785314740702' query in the workbook." type="5" refreshedVersion="8" background="1" saveData="1">
    <dbPr connection="Provider=Microsoft.Mashup.OleDb.1;Data Source=$Workbook$;Location=gemini-code-1785314740702;Extended Properties=&quot;&quot;" command="SELECT * FROM [gemini-code-1785314740702]"/>
  </connection>
  <connection id="2" xr16:uid="{9CA02C06-D705-498D-ACD7-84AB2B8540B4}" keepAlive="1" name="Query - gemini-code-1785314749976" description="Connection to the 'gemini-code-1785314749976' query in the workbook." type="5" refreshedVersion="8" background="1" saveData="1">
    <dbPr connection="Provider=Microsoft.Mashup.OleDb.1;Data Source=$Workbook$;Location=gemini-code-1785314749976;Extended Properties=&quot;&quot;" command="SELECT * FROM [gemini-code-1785314749976]"/>
  </connection>
</connections>
</file>

<file path=xl/sharedStrings.xml><?xml version="1.0" encoding="utf-8"?>
<sst xmlns="http://schemas.openxmlformats.org/spreadsheetml/2006/main" count="47" uniqueCount="36">
  <si>
    <t>Date</t>
  </si>
  <si>
    <t>Total_Revenue</t>
  </si>
  <si>
    <t>Row Labels</t>
  </si>
  <si>
    <t>Grand Total</t>
  </si>
  <si>
    <t>2018</t>
  </si>
  <si>
    <t>2019</t>
  </si>
  <si>
    <t>2020</t>
  </si>
  <si>
    <t>2021</t>
  </si>
  <si>
    <t>Sum of Total_Revenue</t>
  </si>
  <si>
    <t xml:space="preserve"> Total_Revenue </t>
  </si>
  <si>
    <t>Forecast( Total_Revenue )</t>
  </si>
  <si>
    <t>Lower Confidence Bound( Total_Revenue )</t>
  </si>
  <si>
    <t>Upper Confidence Bound( Total_Revenue )</t>
  </si>
  <si>
    <t>Parameter</t>
  </si>
  <si>
    <t>Value</t>
  </si>
  <si>
    <t>Unit_Price</t>
  </si>
  <si>
    <t>Variable_Cost_per_Unit</t>
  </si>
  <si>
    <t>Volume_Sold</t>
  </si>
  <si>
    <t>Fixed_Costs</t>
  </si>
  <si>
    <t>How much units sold to reach profit of 150000</t>
  </si>
  <si>
    <t>Profit</t>
  </si>
  <si>
    <t>Created by Kacper Cichy on 29.07.2026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</si>
  <si>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</si>
  <si>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</si>
  <si>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</si>
  <si>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</si>
  <si>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</si>
  <si>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</si>
  <si>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</si>
  <si>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Pesymistic</t>
  </si>
  <si>
    <t>Created by Kacper Cichy on 29.07.2026
Modified by Kacper Cichy on 29.07.2026</t>
  </si>
  <si>
    <t>Basic</t>
  </si>
  <si>
    <t>Optymistic</t>
  </si>
  <si>
    <t>Set Unit Price</t>
  </si>
  <si>
    <t>Set Volume Sold</t>
  </si>
  <si>
    <t>Set Fixed_costs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</si>
</sst>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indexed="9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b/>
      <sz val="11"/>
      <color indexed="18"/>
      <name val="Calibri"/>
      <family val="2"/>
      <charset val="238"/>
      <scheme val="minor"/>
    </font>
    <font>
      <sz val="10"/>
      <color indexed="9"/>
      <name val="Calibri"/>
      <family val="2"/>
      <charset val="238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5" xfId="0" applyFill="1" applyBorder="1" applyAlignment="1"/>
    <xf numFmtId="0" fontId="2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3" fillId="4" borderId="0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0" fillId="5" borderId="0" xfId="0" applyFill="1" applyBorder="1" applyAlignment="1"/>
    <xf numFmtId="0" fontId="6" fillId="0" borderId="0" xfId="0" applyFont="1" applyFill="1" applyBorder="1" applyAlignment="1">
      <alignment vertical="top" wrapText="1"/>
    </xf>
    <xf numFmtId="44" fontId="0" fillId="2" borderId="2" xfId="1" applyFont="1" applyFill="1" applyBorder="1"/>
    <xf numFmtId="44" fontId="0" fillId="0" borderId="2" xfId="1" applyFont="1" applyBorder="1"/>
    <xf numFmtId="0" fontId="0" fillId="2" borderId="2" xfId="1" applyNumberFormat="1" applyFont="1" applyFill="1" applyBorder="1"/>
    <xf numFmtId="0" fontId="0" fillId="6" borderId="8" xfId="0" applyFill="1" applyBorder="1" applyProtection="1">
      <protection locked="0"/>
    </xf>
    <xf numFmtId="44" fontId="0" fillId="6" borderId="8" xfId="1" applyFont="1" applyFill="1" applyBorder="1" applyProtection="1">
      <protection locked="0"/>
    </xf>
  </cellXfs>
  <cellStyles count="2">
    <cellStyle name="Currency" xfId="1" builtinId="4"/>
    <cellStyle name="Normal" xfId="0" builtinId="0"/>
  </cellStyles>
  <dxfs count="6">
    <dxf>
      <numFmt numFmtId="0" formatCode="General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Forecast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Forecast_Sheet_Data!$B$1</c:f>
              <c:strCache>
                <c:ptCount val="1"/>
                <c:pt idx="0">
                  <c:v> Total_Revenue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Forecast_Sheet_Data!$B$2:$B$73</c:f>
              <c:numCache>
                <c:formatCode>_("zł"* #,##0.00_);_("zł"* \(#,##0.00\);_("zł"* "-"??_);_(@_)</c:formatCode>
                <c:ptCount val="72"/>
                <c:pt idx="0">
                  <c:v>78288</c:v>
                </c:pt>
                <c:pt idx="1">
                  <c:v>87490</c:v>
                </c:pt>
                <c:pt idx="2">
                  <c:v>91886</c:v>
                </c:pt>
                <c:pt idx="3">
                  <c:v>95136</c:v>
                </c:pt>
                <c:pt idx="4">
                  <c:v>102764</c:v>
                </c:pt>
                <c:pt idx="5">
                  <c:v>112936</c:v>
                </c:pt>
                <c:pt idx="6">
                  <c:v>120724</c:v>
                </c:pt>
                <c:pt idx="7">
                  <c:v>121381</c:v>
                </c:pt>
                <c:pt idx="8">
                  <c:v>126643</c:v>
                </c:pt>
                <c:pt idx="9">
                  <c:v>130616</c:v>
                </c:pt>
                <c:pt idx="10">
                  <c:v>168356</c:v>
                </c:pt>
                <c:pt idx="11">
                  <c:v>193822</c:v>
                </c:pt>
                <c:pt idx="12">
                  <c:v>93274</c:v>
                </c:pt>
                <c:pt idx="13">
                  <c:v>97841</c:v>
                </c:pt>
                <c:pt idx="14">
                  <c:v>111019</c:v>
                </c:pt>
                <c:pt idx="15">
                  <c:v>110922</c:v>
                </c:pt>
                <c:pt idx="16">
                  <c:v>120940</c:v>
                </c:pt>
                <c:pt idx="17">
                  <c:v>128667</c:v>
                </c:pt>
                <c:pt idx="18">
                  <c:v>144670</c:v>
                </c:pt>
                <c:pt idx="19">
                  <c:v>138214</c:v>
                </c:pt>
                <c:pt idx="20">
                  <c:v>147609</c:v>
                </c:pt>
                <c:pt idx="21">
                  <c:v>159403</c:v>
                </c:pt>
                <c:pt idx="22">
                  <c:v>189083</c:v>
                </c:pt>
                <c:pt idx="23">
                  <c:v>215115</c:v>
                </c:pt>
                <c:pt idx="24">
                  <c:v>107381</c:v>
                </c:pt>
                <c:pt idx="25">
                  <c:v>111581</c:v>
                </c:pt>
                <c:pt idx="26">
                  <c:v>124997</c:v>
                </c:pt>
                <c:pt idx="27">
                  <c:v>138012</c:v>
                </c:pt>
                <c:pt idx="28">
                  <c:v>144520</c:v>
                </c:pt>
                <c:pt idx="29">
                  <c:v>156022</c:v>
                </c:pt>
                <c:pt idx="30">
                  <c:v>166299</c:v>
                </c:pt>
                <c:pt idx="31">
                  <c:v>161314</c:v>
                </c:pt>
                <c:pt idx="32">
                  <c:v>161973</c:v>
                </c:pt>
                <c:pt idx="33">
                  <c:v>176488</c:v>
                </c:pt>
                <c:pt idx="34">
                  <c:v>217754</c:v>
                </c:pt>
                <c:pt idx="35">
                  <c:v>239478</c:v>
                </c:pt>
                <c:pt idx="36">
                  <c:v>126492</c:v>
                </c:pt>
                <c:pt idx="37">
                  <c:v>127238</c:v>
                </c:pt>
                <c:pt idx="38">
                  <c:v>148107</c:v>
                </c:pt>
                <c:pt idx="39">
                  <c:v>143181</c:v>
                </c:pt>
                <c:pt idx="40">
                  <c:v>162951</c:v>
                </c:pt>
                <c:pt idx="41">
                  <c:v>164038</c:v>
                </c:pt>
                <c:pt idx="42">
                  <c:v>181593</c:v>
                </c:pt>
                <c:pt idx="43">
                  <c:v>164841</c:v>
                </c:pt>
                <c:pt idx="44">
                  <c:v>193137</c:v>
                </c:pt>
                <c:pt idx="45">
                  <c:v>193334</c:v>
                </c:pt>
                <c:pt idx="46">
                  <c:v>230019</c:v>
                </c:pt>
                <c:pt idx="47">
                  <c:v>283338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A-498B-B767-3F4CF24CB17B}"/>
            </c:ext>
          </c:extLst>
        </c:ser>
        <c:ser>
          <c:idx val="1"/>
          <c:order val="1"/>
          <c:tx>
            <c:strRef>
              <c:f>Forecast_Sheet_Data!$C$1</c:f>
              <c:strCache>
                <c:ptCount val="1"/>
                <c:pt idx="0">
                  <c:v>Forecast( Total_Revenue 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Forecast_Sheet_Data!$A$2:$A$73</c:f>
              <c:numCache>
                <c:formatCode>m/d/yyyy</c:formatCode>
                <c:ptCount val="72"/>
                <c:pt idx="0">
                  <c:v>43131</c:v>
                </c:pt>
                <c:pt idx="1">
                  <c:v>43159</c:v>
                </c:pt>
                <c:pt idx="2">
                  <c:v>43190</c:v>
                </c:pt>
                <c:pt idx="3">
                  <c:v>43220</c:v>
                </c:pt>
                <c:pt idx="4">
                  <c:v>43251</c:v>
                </c:pt>
                <c:pt idx="5">
                  <c:v>43281</c:v>
                </c:pt>
                <c:pt idx="6">
                  <c:v>43312</c:v>
                </c:pt>
                <c:pt idx="7">
                  <c:v>43343</c:v>
                </c:pt>
                <c:pt idx="8">
                  <c:v>43373</c:v>
                </c:pt>
                <c:pt idx="9">
                  <c:v>43404</c:v>
                </c:pt>
                <c:pt idx="10">
                  <c:v>43434</c:v>
                </c:pt>
                <c:pt idx="11">
                  <c:v>43465</c:v>
                </c:pt>
                <c:pt idx="12">
                  <c:v>43496</c:v>
                </c:pt>
                <c:pt idx="13">
                  <c:v>43524</c:v>
                </c:pt>
                <c:pt idx="14">
                  <c:v>43555</c:v>
                </c:pt>
                <c:pt idx="15">
                  <c:v>43585</c:v>
                </c:pt>
                <c:pt idx="16">
                  <c:v>43616</c:v>
                </c:pt>
                <c:pt idx="17">
                  <c:v>43646</c:v>
                </c:pt>
                <c:pt idx="18">
                  <c:v>43677</c:v>
                </c:pt>
                <c:pt idx="19">
                  <c:v>43708</c:v>
                </c:pt>
                <c:pt idx="20">
                  <c:v>43738</c:v>
                </c:pt>
                <c:pt idx="21">
                  <c:v>43769</c:v>
                </c:pt>
                <c:pt idx="22">
                  <c:v>43799</c:v>
                </c:pt>
                <c:pt idx="23">
                  <c:v>43830</c:v>
                </c:pt>
                <c:pt idx="24">
                  <c:v>43861</c:v>
                </c:pt>
                <c:pt idx="25">
                  <c:v>43890</c:v>
                </c:pt>
                <c:pt idx="26">
                  <c:v>43921</c:v>
                </c:pt>
                <c:pt idx="27">
                  <c:v>43951</c:v>
                </c:pt>
                <c:pt idx="28">
                  <c:v>43982</c:v>
                </c:pt>
                <c:pt idx="29">
                  <c:v>44012</c:v>
                </c:pt>
                <c:pt idx="30">
                  <c:v>44043</c:v>
                </c:pt>
                <c:pt idx="31">
                  <c:v>44074</c:v>
                </c:pt>
                <c:pt idx="32">
                  <c:v>44104</c:v>
                </c:pt>
                <c:pt idx="33">
                  <c:v>44135</c:v>
                </c:pt>
                <c:pt idx="34">
                  <c:v>44165</c:v>
                </c:pt>
                <c:pt idx="35">
                  <c:v>44196</c:v>
                </c:pt>
                <c:pt idx="36">
                  <c:v>44227</c:v>
                </c:pt>
                <c:pt idx="37">
                  <c:v>44255</c:v>
                </c:pt>
                <c:pt idx="38">
                  <c:v>44286</c:v>
                </c:pt>
                <c:pt idx="39">
                  <c:v>44316</c:v>
                </c:pt>
                <c:pt idx="40">
                  <c:v>44347</c:v>
                </c:pt>
                <c:pt idx="41">
                  <c:v>44377</c:v>
                </c:pt>
                <c:pt idx="42">
                  <c:v>44408</c:v>
                </c:pt>
                <c:pt idx="43">
                  <c:v>44439</c:v>
                </c:pt>
                <c:pt idx="44">
                  <c:v>44469</c:v>
                </c:pt>
                <c:pt idx="45">
                  <c:v>44500</c:v>
                </c:pt>
                <c:pt idx="46">
                  <c:v>44530</c:v>
                </c:pt>
                <c:pt idx="47">
                  <c:v>44561</c:v>
                </c:pt>
                <c:pt idx="48">
                  <c:v>44592</c:v>
                </c:pt>
                <c:pt idx="49">
                  <c:v>44623</c:v>
                </c:pt>
                <c:pt idx="50">
                  <c:v>44651</c:v>
                </c:pt>
                <c:pt idx="51">
                  <c:v>44682</c:v>
                </c:pt>
                <c:pt idx="52">
                  <c:v>44712</c:v>
                </c:pt>
                <c:pt idx="53">
                  <c:v>44743</c:v>
                </c:pt>
                <c:pt idx="54">
                  <c:v>44773</c:v>
                </c:pt>
                <c:pt idx="55">
                  <c:v>44804</c:v>
                </c:pt>
                <c:pt idx="56">
                  <c:v>44835</c:v>
                </c:pt>
                <c:pt idx="57">
                  <c:v>44865</c:v>
                </c:pt>
                <c:pt idx="58">
                  <c:v>44896</c:v>
                </c:pt>
                <c:pt idx="59">
                  <c:v>44926</c:v>
                </c:pt>
                <c:pt idx="60">
                  <c:v>44957</c:v>
                </c:pt>
                <c:pt idx="61">
                  <c:v>44988</c:v>
                </c:pt>
                <c:pt idx="62">
                  <c:v>45016</c:v>
                </c:pt>
                <c:pt idx="63">
                  <c:v>45047</c:v>
                </c:pt>
                <c:pt idx="64">
                  <c:v>45077</c:v>
                </c:pt>
                <c:pt idx="65">
                  <c:v>45108</c:v>
                </c:pt>
                <c:pt idx="66">
                  <c:v>45138</c:v>
                </c:pt>
                <c:pt idx="67">
                  <c:v>45169</c:v>
                </c:pt>
                <c:pt idx="68">
                  <c:v>45200</c:v>
                </c:pt>
                <c:pt idx="69">
                  <c:v>45230</c:v>
                </c:pt>
                <c:pt idx="70">
                  <c:v>45261</c:v>
                </c:pt>
                <c:pt idx="71">
                  <c:v>45291</c:v>
                </c:pt>
              </c:numCache>
            </c:numRef>
          </c:cat>
          <c:val>
            <c:numRef>
              <c:f>Forecast_Sheet_Data!$C$2:$C$73</c:f>
              <c:numCache>
                <c:formatCode>General</c:formatCode>
                <c:ptCount val="72"/>
                <c:pt idx="47" formatCode="_(&quot;zł&quot;* #,##0.00_);_(&quot;zł&quot;* \(#,##0.00\);_(&quot;zł&quot;* &quot;-&quot;??_);_(@_)">
                  <c:v>283338</c:v>
                </c:pt>
                <c:pt idx="48" formatCode="_(&quot;zł&quot;* #,##0.00_);_(&quot;zł&quot;* \(#,##0.00\);_(&quot;zł&quot;* &quot;-&quot;??_);_(@_)">
                  <c:v>164627.48416259562</c:v>
                </c:pt>
                <c:pt idx="49" formatCode="_(&quot;zł&quot;* #,##0.00_);_(&quot;zł&quot;* \(#,##0.00\);_(&quot;zł&quot;* &quot;-&quot;??_);_(@_)">
                  <c:v>169277.19477279423</c:v>
                </c:pt>
                <c:pt idx="50" formatCode="_(&quot;zł&quot;* #,##0.00_);_(&quot;zł&quot;* \(#,##0.00\);_(&quot;zł&quot;* &quot;-&quot;??_);_(@_)">
                  <c:v>182539.0619760557</c:v>
                </c:pt>
                <c:pt idx="51" formatCode="_(&quot;zł&quot;* #,##0.00_);_(&quot;zł&quot;* \(#,##0.00\);_(&quot;zł&quot;* &quot;-&quot;??_);_(@_)">
                  <c:v>188971.06949012275</c:v>
                </c:pt>
                <c:pt idx="52" formatCode="_(&quot;zł&quot;* #,##0.00_);_(&quot;zł&quot;* \(#,##0.00\);_(&quot;zł&quot;* &quot;-&quot;??_);_(@_)">
                  <c:v>197020.49196565954</c:v>
                </c:pt>
                <c:pt idx="53" formatCode="_(&quot;zł&quot;* #,##0.00_);_(&quot;zł&quot;* \(#,##0.00\);_(&quot;zł&quot;* &quot;-&quot;??_);_(@_)">
                  <c:v>203895.95425535942</c:v>
                </c:pt>
                <c:pt idx="54" formatCode="_(&quot;zł&quot;* #,##0.00_);_(&quot;zł&quot;* \(#,##0.00\);_(&quot;zł&quot;* &quot;-&quot;??_);_(@_)">
                  <c:v>216142.02404982684</c:v>
                </c:pt>
                <c:pt idx="55" formatCode="_(&quot;zł&quot;* #,##0.00_);_(&quot;zł&quot;* \(#,##0.00\);_(&quot;zł&quot;* &quot;-&quot;??_);_(@_)">
                  <c:v>213756.0601437873</c:v>
                </c:pt>
                <c:pt idx="56" formatCode="_(&quot;zł&quot;* #,##0.00_);_(&quot;zł&quot;* \(#,##0.00\);_(&quot;zł&quot;* &quot;-&quot;??_);_(@_)">
                  <c:v>221291.93209859042</c:v>
                </c:pt>
                <c:pt idx="57" formatCode="_(&quot;zł&quot;* #,##0.00_);_(&quot;zł&quot;* \(#,##0.00\);_(&quot;zł&quot;* &quot;-&quot;??_);_(@_)">
                  <c:v>229254.30383618199</c:v>
                </c:pt>
                <c:pt idx="58" formatCode="_(&quot;zł&quot;* #,##0.00_);_(&quot;zł&quot;* \(#,##0.00\);_(&quot;zł&quot;* &quot;-&quot;??_);_(@_)">
                  <c:v>262877.79607005446</c:v>
                </c:pt>
                <c:pt idx="59" formatCode="_(&quot;zł&quot;* #,##0.00_);_(&quot;zł&quot;* \(#,##0.00\);_(&quot;zł&quot;* &quot;-&quot;??_);_(@_)">
                  <c:v>288658.4112437591</c:v>
                </c:pt>
                <c:pt idx="60" formatCode="_(&quot;zł&quot;* #,##0.00_);_(&quot;zł&quot;* \(#,##0.00\);_(&quot;zł&quot;* &quot;-&quot;??_);_(@_)">
                  <c:v>184409.34059374128</c:v>
                </c:pt>
                <c:pt idx="61" formatCode="_(&quot;zł&quot;* #,##0.00_);_(&quot;zł&quot;* \(#,##0.00\);_(&quot;zł&quot;* &quot;-&quot;??_);_(@_)">
                  <c:v>189059.05120393989</c:v>
                </c:pt>
                <c:pt idx="62" formatCode="_(&quot;zł&quot;* #,##0.00_);_(&quot;zł&quot;* \(#,##0.00\);_(&quot;zł&quot;* &quot;-&quot;??_);_(@_)">
                  <c:v>202320.91840720136</c:v>
                </c:pt>
                <c:pt idx="63" formatCode="_(&quot;zł&quot;* #,##0.00_);_(&quot;zł&quot;* \(#,##0.00\);_(&quot;zł&quot;* &quot;-&quot;??_);_(@_)">
                  <c:v>208752.92592126841</c:v>
                </c:pt>
                <c:pt idx="64" formatCode="_(&quot;zł&quot;* #,##0.00_);_(&quot;zł&quot;* \(#,##0.00\);_(&quot;zł&quot;* &quot;-&quot;??_);_(@_)">
                  <c:v>216802.3483968052</c:v>
                </c:pt>
                <c:pt idx="65" formatCode="_(&quot;zł&quot;* #,##0.00_);_(&quot;zł&quot;* \(#,##0.00\);_(&quot;zł&quot;* &quot;-&quot;??_);_(@_)">
                  <c:v>223677.81068650508</c:v>
                </c:pt>
                <c:pt idx="66" formatCode="_(&quot;zł&quot;* #,##0.00_);_(&quot;zł&quot;* \(#,##0.00\);_(&quot;zł&quot;* &quot;-&quot;??_);_(@_)">
                  <c:v>235923.8804809725</c:v>
                </c:pt>
                <c:pt idx="67" formatCode="_(&quot;zł&quot;* #,##0.00_);_(&quot;zł&quot;* \(#,##0.00\);_(&quot;zł&quot;* &quot;-&quot;??_);_(@_)">
                  <c:v>233537.91657493295</c:v>
                </c:pt>
                <c:pt idx="68" formatCode="_(&quot;zł&quot;* #,##0.00_);_(&quot;zł&quot;* \(#,##0.00\);_(&quot;zł&quot;* &quot;-&quot;??_);_(@_)">
                  <c:v>241073.78852973608</c:v>
                </c:pt>
                <c:pt idx="69" formatCode="_(&quot;zł&quot;* #,##0.00_);_(&quot;zł&quot;* \(#,##0.00\);_(&quot;zł&quot;* &quot;-&quot;??_);_(@_)">
                  <c:v>249036.16026732765</c:v>
                </c:pt>
                <c:pt idx="70" formatCode="_(&quot;zł&quot;* #,##0.00_);_(&quot;zł&quot;* \(#,##0.00\);_(&quot;zł&quot;* &quot;-&quot;??_);_(@_)">
                  <c:v>282659.65250120009</c:v>
                </c:pt>
                <c:pt idx="71" formatCode="_(&quot;zł&quot;* #,##0.00_);_(&quot;zł&quot;* \(#,##0.00\);_(&quot;zł&quot;* &quot;-&quot;??_);_(@_)">
                  <c:v>308440.26767490478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A-498B-B767-3F4CF24CB17B}"/>
            </c:ext>
          </c:extLst>
        </c:ser>
        <c:ser>
          <c:idx val="2"/>
          <c:order val="2"/>
          <c:tx>
            <c:strRef>
              <c:f>Forecast_Sheet_Data!$D$1</c:f>
              <c:strCache>
                <c:ptCount val="1"/>
                <c:pt idx="0">
                  <c:v>Lower Confidence Bound( Total_Revenue 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Forecast_Sheet_Data!$A$2:$A$73</c:f>
              <c:numCache>
                <c:formatCode>m/d/yyyy</c:formatCode>
                <c:ptCount val="72"/>
                <c:pt idx="0">
                  <c:v>43131</c:v>
                </c:pt>
                <c:pt idx="1">
                  <c:v>43159</c:v>
                </c:pt>
                <c:pt idx="2">
                  <c:v>43190</c:v>
                </c:pt>
                <c:pt idx="3">
                  <c:v>43220</c:v>
                </c:pt>
                <c:pt idx="4">
                  <c:v>43251</c:v>
                </c:pt>
                <c:pt idx="5">
                  <c:v>43281</c:v>
                </c:pt>
                <c:pt idx="6">
                  <c:v>43312</c:v>
                </c:pt>
                <c:pt idx="7">
                  <c:v>43343</c:v>
                </c:pt>
                <c:pt idx="8">
                  <c:v>43373</c:v>
                </c:pt>
                <c:pt idx="9">
                  <c:v>43404</c:v>
                </c:pt>
                <c:pt idx="10">
                  <c:v>43434</c:v>
                </c:pt>
                <c:pt idx="11">
                  <c:v>43465</c:v>
                </c:pt>
                <c:pt idx="12">
                  <c:v>43496</c:v>
                </c:pt>
                <c:pt idx="13">
                  <c:v>43524</c:v>
                </c:pt>
                <c:pt idx="14">
                  <c:v>43555</c:v>
                </c:pt>
                <c:pt idx="15">
                  <c:v>43585</c:v>
                </c:pt>
                <c:pt idx="16">
                  <c:v>43616</c:v>
                </c:pt>
                <c:pt idx="17">
                  <c:v>43646</c:v>
                </c:pt>
                <c:pt idx="18">
                  <c:v>43677</c:v>
                </c:pt>
                <c:pt idx="19">
                  <c:v>43708</c:v>
                </c:pt>
                <c:pt idx="20">
                  <c:v>43738</c:v>
                </c:pt>
                <c:pt idx="21">
                  <c:v>43769</c:v>
                </c:pt>
                <c:pt idx="22">
                  <c:v>43799</c:v>
                </c:pt>
                <c:pt idx="23">
                  <c:v>43830</c:v>
                </c:pt>
                <c:pt idx="24">
                  <c:v>43861</c:v>
                </c:pt>
                <c:pt idx="25">
                  <c:v>43890</c:v>
                </c:pt>
                <c:pt idx="26">
                  <c:v>43921</c:v>
                </c:pt>
                <c:pt idx="27">
                  <c:v>43951</c:v>
                </c:pt>
                <c:pt idx="28">
                  <c:v>43982</c:v>
                </c:pt>
                <c:pt idx="29">
                  <c:v>44012</c:v>
                </c:pt>
                <c:pt idx="30">
                  <c:v>44043</c:v>
                </c:pt>
                <c:pt idx="31">
                  <c:v>44074</c:v>
                </c:pt>
                <c:pt idx="32">
                  <c:v>44104</c:v>
                </c:pt>
                <c:pt idx="33">
                  <c:v>44135</c:v>
                </c:pt>
                <c:pt idx="34">
                  <c:v>44165</c:v>
                </c:pt>
                <c:pt idx="35">
                  <c:v>44196</c:v>
                </c:pt>
                <c:pt idx="36">
                  <c:v>44227</c:v>
                </c:pt>
                <c:pt idx="37">
                  <c:v>44255</c:v>
                </c:pt>
                <c:pt idx="38">
                  <c:v>44286</c:v>
                </c:pt>
                <c:pt idx="39">
                  <c:v>44316</c:v>
                </c:pt>
                <c:pt idx="40">
                  <c:v>44347</c:v>
                </c:pt>
                <c:pt idx="41">
                  <c:v>44377</c:v>
                </c:pt>
                <c:pt idx="42">
                  <c:v>44408</c:v>
                </c:pt>
                <c:pt idx="43">
                  <c:v>44439</c:v>
                </c:pt>
                <c:pt idx="44">
                  <c:v>44469</c:v>
                </c:pt>
                <c:pt idx="45">
                  <c:v>44500</c:v>
                </c:pt>
                <c:pt idx="46">
                  <c:v>44530</c:v>
                </c:pt>
                <c:pt idx="47">
                  <c:v>44561</c:v>
                </c:pt>
                <c:pt idx="48">
                  <c:v>44592</c:v>
                </c:pt>
                <c:pt idx="49">
                  <c:v>44623</c:v>
                </c:pt>
                <c:pt idx="50">
                  <c:v>44651</c:v>
                </c:pt>
                <c:pt idx="51">
                  <c:v>44682</c:v>
                </c:pt>
                <c:pt idx="52">
                  <c:v>44712</c:v>
                </c:pt>
                <c:pt idx="53">
                  <c:v>44743</c:v>
                </c:pt>
                <c:pt idx="54">
                  <c:v>44773</c:v>
                </c:pt>
                <c:pt idx="55">
                  <c:v>44804</c:v>
                </c:pt>
                <c:pt idx="56">
                  <c:v>44835</c:v>
                </c:pt>
                <c:pt idx="57">
                  <c:v>44865</c:v>
                </c:pt>
                <c:pt idx="58">
                  <c:v>44896</c:v>
                </c:pt>
                <c:pt idx="59">
                  <c:v>44926</c:v>
                </c:pt>
                <c:pt idx="60">
                  <c:v>44957</c:v>
                </c:pt>
                <c:pt idx="61">
                  <c:v>44988</c:v>
                </c:pt>
                <c:pt idx="62">
                  <c:v>45016</c:v>
                </c:pt>
                <c:pt idx="63">
                  <c:v>45047</c:v>
                </c:pt>
                <c:pt idx="64">
                  <c:v>45077</c:v>
                </c:pt>
                <c:pt idx="65">
                  <c:v>45108</c:v>
                </c:pt>
                <c:pt idx="66">
                  <c:v>45138</c:v>
                </c:pt>
                <c:pt idx="67">
                  <c:v>45169</c:v>
                </c:pt>
                <c:pt idx="68">
                  <c:v>45200</c:v>
                </c:pt>
                <c:pt idx="69">
                  <c:v>45230</c:v>
                </c:pt>
                <c:pt idx="70">
                  <c:v>45261</c:v>
                </c:pt>
                <c:pt idx="71">
                  <c:v>45291</c:v>
                </c:pt>
              </c:numCache>
            </c:numRef>
          </c:cat>
          <c:val>
            <c:numRef>
              <c:f>Forecast_Sheet_Data!$D$2:$D$73</c:f>
              <c:numCache>
                <c:formatCode>General</c:formatCode>
                <c:ptCount val="72"/>
                <c:pt idx="47" formatCode="_(&quot;zł&quot;* #,##0.00_);_(&quot;zł&quot;* \(#,##0.00\);_(&quot;zł&quot;* &quot;-&quot;??_);_(@_)">
                  <c:v>283338</c:v>
                </c:pt>
                <c:pt idx="48" formatCode="_(&quot;zł&quot;* #,##0.00_);_(&quot;zł&quot;* \(#,##0.00\);_(&quot;zł&quot;* &quot;-&quot;??_);_(@_)">
                  <c:v>153888.0183484205</c:v>
                </c:pt>
                <c:pt idx="49" formatCode="_(&quot;zł&quot;* #,##0.00_);_(&quot;zł&quot;* \(#,##0.00\);_(&quot;zł&quot;* &quot;-&quot;??_);_(@_)">
                  <c:v>157260.48594451076</c:v>
                </c:pt>
                <c:pt idx="50" formatCode="_(&quot;zł&quot;* #,##0.00_);_(&quot;zł&quot;* \(#,##0.00\);_(&quot;zł&quot;* &quot;-&quot;??_);_(@_)">
                  <c:v>169363.99579177183</c:v>
                </c:pt>
                <c:pt idx="51" formatCode="_(&quot;zł&quot;* #,##0.00_);_(&quot;zł&quot;* \(#,##0.00\);_(&quot;zł&quot;* &quot;-&quot;??_);_(@_)">
                  <c:v>174727.48881897022</c:v>
                </c:pt>
                <c:pt idx="52" formatCode="_(&quot;zł&quot;* #,##0.00_);_(&quot;zł&quot;* \(#,##0.00\);_(&quot;zł&quot;* &quot;-&quot;??_);_(@_)">
                  <c:v>181779.32449521596</c:v>
                </c:pt>
                <c:pt idx="53" formatCode="_(&quot;zł&quot;* #,##0.00_);_(&quot;zł&quot;* \(#,##0.00\);_(&quot;zł&quot;* &quot;-&quot;??_);_(@_)">
                  <c:v>187714.99673696933</c:v>
                </c:pt>
                <c:pt idx="54" formatCode="_(&quot;zł&quot;* #,##0.00_);_(&quot;zł&quot;* \(#,##0.00\);_(&quot;zł&quot;* &quot;-&quot;??_);_(@_)">
                  <c:v>199069.51919384883</c:v>
                </c:pt>
                <c:pt idx="55" formatCode="_(&quot;zł&quot;* #,##0.00_);_(&quot;zł&quot;* \(#,##0.00\);_(&quot;zł&quot;* &quot;-&quot;??_);_(@_)">
                  <c:v>195833.04354303883</c:v>
                </c:pt>
                <c:pt idx="56" formatCode="_(&quot;zł&quot;* #,##0.00_);_(&quot;zł&quot;* \(#,##0.00\);_(&quot;zł&quot;* &quot;-&quot;??_);_(@_)">
                  <c:v>202553.8446048217</c:v>
                </c:pt>
                <c:pt idx="57" formatCode="_(&quot;zł&quot;* #,##0.00_);_(&quot;zł&quot;* \(#,##0.00\);_(&quot;zł&quot;* &quot;-&quot;??_);_(@_)">
                  <c:v>209732.14080823024</c:v>
                </c:pt>
                <c:pt idx="58" formatCode="_(&quot;zł&quot;* #,##0.00_);_(&quot;zł&quot;* \(#,##0.00\);_(&quot;zł&quot;* &quot;-&quot;??_);_(@_)">
                  <c:v>242598.95158028285</c:v>
                </c:pt>
                <c:pt idx="59" formatCode="_(&quot;zł&quot;* #,##0.00_);_(&quot;zł&quot;* \(#,##0.00\);_(&quot;zł&quot;* &quot;-&quot;??_);_(@_)">
                  <c:v>267647.31400330958</c:v>
                </c:pt>
                <c:pt idx="60" formatCode="_(&quot;zł&quot;* #,##0.00_);_(&quot;zł&quot;* \(#,##0.00\);_(&quot;zł&quot;* &quot;-&quot;??_);_(@_)">
                  <c:v>162685.21689713595</c:v>
                </c:pt>
                <c:pt idx="61" formatCode="_(&quot;zł&quot;* #,##0.00_);_(&quot;zł&quot;* \(#,##0.00\);_(&quot;zł&quot;* &quot;-&quot;??_);_(@_)">
                  <c:v>166644.57165336382</c:v>
                </c:pt>
                <c:pt idx="62" formatCode="_(&quot;zł&quot;* #,##0.00_);_(&quot;zł&quot;* \(#,##0.00\);_(&quot;zł&quot;* &quot;-&quot;??_);_(@_)">
                  <c:v>179234.14908937339</c:v>
                </c:pt>
                <c:pt idx="63" formatCode="_(&quot;zł&quot;* #,##0.00_);_(&quot;zł&quot;* \(#,##0.00\);_(&quot;zł&quot;* &quot;-&quot;??_);_(@_)">
                  <c:v>185010.39334591132</c:v>
                </c:pt>
                <c:pt idx="64" formatCode="_(&quot;zł&quot;* #,##0.00_);_(&quot;zł&quot;* \(#,##0.00\);_(&quot;zł&quot;* &quot;-&quot;??_);_(@_)">
                  <c:v>192419.2409068376</c:v>
                </c:pt>
                <c:pt idx="65" formatCode="_(&quot;zł&quot;* #,##0.00_);_(&quot;zł&quot;* \(#,##0.00\);_(&quot;zł&quot;* &quot;-&quot;??_);_(@_)">
                  <c:v>198668.14492438189</c:v>
                </c:pt>
                <c:pt idx="66" formatCode="_(&quot;zł&quot;* #,##0.00_);_(&quot;zł&quot;* \(#,##0.00\);_(&quot;zł&quot;* &quot;-&quot;??_);_(@_)">
                  <c:v>210300.64033142163</c:v>
                </c:pt>
                <c:pt idx="67" formatCode="_(&quot;zł&quot;* #,##0.00_);_(&quot;zł&quot;* \(#,##0.00\);_(&quot;zł&quot;* &quot;-&quot;??_);_(@_)">
                  <c:v>207313.17016577048</c:v>
                </c:pt>
                <c:pt idx="68" formatCode="_(&quot;zł&quot;* #,##0.00_);_(&quot;zł&quot;* \(#,##0.00\);_(&quot;zł&quot;* &quot;-&quot;??_);_(@_)">
                  <c:v>214258.78754902858</c:v>
                </c:pt>
                <c:pt idx="69" formatCode="_(&quot;zł&quot;* #,##0.00_);_(&quot;zł&quot;* \(#,##0.00\);_(&quot;zł&quot;* &quot;-&quot;??_);_(@_)">
                  <c:v>221641.42488723685</c:v>
                </c:pt>
                <c:pt idx="70" formatCode="_(&quot;zł&quot;* #,##0.00_);_(&quot;zł&quot;* \(#,##0.00\);_(&quot;zł&quot;* &quot;-&quot;??_);_(@_)">
                  <c:v>254695.04448058418</c:v>
                </c:pt>
                <c:pt idx="71" formatCode="_(&quot;zł&quot;* #,##0.00_);_(&quot;zł&quot;* \(#,##0.00\);_(&quot;zł&quot;* &quot;-&quot;??_);_(@_)">
                  <c:v>279915.05367269111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A-498B-B767-3F4CF24CB17B}"/>
            </c:ext>
          </c:extLst>
        </c:ser>
        <c:ser>
          <c:idx val="3"/>
          <c:order val="3"/>
          <c:tx>
            <c:strRef>
              <c:f>Forecast_Sheet_Data!$E$1</c:f>
              <c:strCache>
                <c:ptCount val="1"/>
                <c:pt idx="0">
                  <c:v>Upper Confidence Bound( Total_Revenue 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Forecast_Sheet_Data!$A$2:$A$73</c:f>
              <c:numCache>
                <c:formatCode>m/d/yyyy</c:formatCode>
                <c:ptCount val="72"/>
                <c:pt idx="0">
                  <c:v>43131</c:v>
                </c:pt>
                <c:pt idx="1">
                  <c:v>43159</c:v>
                </c:pt>
                <c:pt idx="2">
                  <c:v>43190</c:v>
                </c:pt>
                <c:pt idx="3">
                  <c:v>43220</c:v>
                </c:pt>
                <c:pt idx="4">
                  <c:v>43251</c:v>
                </c:pt>
                <c:pt idx="5">
                  <c:v>43281</c:v>
                </c:pt>
                <c:pt idx="6">
                  <c:v>43312</c:v>
                </c:pt>
                <c:pt idx="7">
                  <c:v>43343</c:v>
                </c:pt>
                <c:pt idx="8">
                  <c:v>43373</c:v>
                </c:pt>
                <c:pt idx="9">
                  <c:v>43404</c:v>
                </c:pt>
                <c:pt idx="10">
                  <c:v>43434</c:v>
                </c:pt>
                <c:pt idx="11">
                  <c:v>43465</c:v>
                </c:pt>
                <c:pt idx="12">
                  <c:v>43496</c:v>
                </c:pt>
                <c:pt idx="13">
                  <c:v>43524</c:v>
                </c:pt>
                <c:pt idx="14">
                  <c:v>43555</c:v>
                </c:pt>
                <c:pt idx="15">
                  <c:v>43585</c:v>
                </c:pt>
                <c:pt idx="16">
                  <c:v>43616</c:v>
                </c:pt>
                <c:pt idx="17">
                  <c:v>43646</c:v>
                </c:pt>
                <c:pt idx="18">
                  <c:v>43677</c:v>
                </c:pt>
                <c:pt idx="19">
                  <c:v>43708</c:v>
                </c:pt>
                <c:pt idx="20">
                  <c:v>43738</c:v>
                </c:pt>
                <c:pt idx="21">
                  <c:v>43769</c:v>
                </c:pt>
                <c:pt idx="22">
                  <c:v>43799</c:v>
                </c:pt>
                <c:pt idx="23">
                  <c:v>43830</c:v>
                </c:pt>
                <c:pt idx="24">
                  <c:v>43861</c:v>
                </c:pt>
                <c:pt idx="25">
                  <c:v>43890</c:v>
                </c:pt>
                <c:pt idx="26">
                  <c:v>43921</c:v>
                </c:pt>
                <c:pt idx="27">
                  <c:v>43951</c:v>
                </c:pt>
                <c:pt idx="28">
                  <c:v>43982</c:v>
                </c:pt>
                <c:pt idx="29">
                  <c:v>44012</c:v>
                </c:pt>
                <c:pt idx="30">
                  <c:v>44043</c:v>
                </c:pt>
                <c:pt idx="31">
                  <c:v>44074</c:v>
                </c:pt>
                <c:pt idx="32">
                  <c:v>44104</c:v>
                </c:pt>
                <c:pt idx="33">
                  <c:v>44135</c:v>
                </c:pt>
                <c:pt idx="34">
                  <c:v>44165</c:v>
                </c:pt>
                <c:pt idx="35">
                  <c:v>44196</c:v>
                </c:pt>
                <c:pt idx="36">
                  <c:v>44227</c:v>
                </c:pt>
                <c:pt idx="37">
                  <c:v>44255</c:v>
                </c:pt>
                <c:pt idx="38">
                  <c:v>44286</c:v>
                </c:pt>
                <c:pt idx="39">
                  <c:v>44316</c:v>
                </c:pt>
                <c:pt idx="40">
                  <c:v>44347</c:v>
                </c:pt>
                <c:pt idx="41">
                  <c:v>44377</c:v>
                </c:pt>
                <c:pt idx="42">
                  <c:v>44408</c:v>
                </c:pt>
                <c:pt idx="43">
                  <c:v>44439</c:v>
                </c:pt>
                <c:pt idx="44">
                  <c:v>44469</c:v>
                </c:pt>
                <c:pt idx="45">
                  <c:v>44500</c:v>
                </c:pt>
                <c:pt idx="46">
                  <c:v>44530</c:v>
                </c:pt>
                <c:pt idx="47">
                  <c:v>44561</c:v>
                </c:pt>
                <c:pt idx="48">
                  <c:v>44592</c:v>
                </c:pt>
                <c:pt idx="49">
                  <c:v>44623</c:v>
                </c:pt>
                <c:pt idx="50">
                  <c:v>44651</c:v>
                </c:pt>
                <c:pt idx="51">
                  <c:v>44682</c:v>
                </c:pt>
                <c:pt idx="52">
                  <c:v>44712</c:v>
                </c:pt>
                <c:pt idx="53">
                  <c:v>44743</c:v>
                </c:pt>
                <c:pt idx="54">
                  <c:v>44773</c:v>
                </c:pt>
                <c:pt idx="55">
                  <c:v>44804</c:v>
                </c:pt>
                <c:pt idx="56">
                  <c:v>44835</c:v>
                </c:pt>
                <c:pt idx="57">
                  <c:v>44865</c:v>
                </c:pt>
                <c:pt idx="58">
                  <c:v>44896</c:v>
                </c:pt>
                <c:pt idx="59">
                  <c:v>44926</c:v>
                </c:pt>
                <c:pt idx="60">
                  <c:v>44957</c:v>
                </c:pt>
                <c:pt idx="61">
                  <c:v>44988</c:v>
                </c:pt>
                <c:pt idx="62">
                  <c:v>45016</c:v>
                </c:pt>
                <c:pt idx="63">
                  <c:v>45047</c:v>
                </c:pt>
                <c:pt idx="64">
                  <c:v>45077</c:v>
                </c:pt>
                <c:pt idx="65">
                  <c:v>45108</c:v>
                </c:pt>
                <c:pt idx="66">
                  <c:v>45138</c:v>
                </c:pt>
                <c:pt idx="67">
                  <c:v>45169</c:v>
                </c:pt>
                <c:pt idx="68">
                  <c:v>45200</c:v>
                </c:pt>
                <c:pt idx="69">
                  <c:v>45230</c:v>
                </c:pt>
                <c:pt idx="70">
                  <c:v>45261</c:v>
                </c:pt>
                <c:pt idx="71">
                  <c:v>45291</c:v>
                </c:pt>
              </c:numCache>
            </c:numRef>
          </c:cat>
          <c:val>
            <c:numRef>
              <c:f>Forecast_Sheet_Data!$E$2:$E$73</c:f>
              <c:numCache>
                <c:formatCode>General</c:formatCode>
                <c:ptCount val="72"/>
                <c:pt idx="47" formatCode="_(&quot;zł&quot;* #,##0.00_);_(&quot;zł&quot;* \(#,##0.00\);_(&quot;zł&quot;* &quot;-&quot;??_);_(@_)">
                  <c:v>283338</c:v>
                </c:pt>
                <c:pt idx="48" formatCode="_(&quot;zł&quot;* #,##0.00_);_(&quot;zł&quot;* \(#,##0.00\);_(&quot;zł&quot;* &quot;-&quot;??_);_(@_)">
                  <c:v>175366.94997677073</c:v>
                </c:pt>
                <c:pt idx="49" formatCode="_(&quot;zł&quot;* #,##0.00_);_(&quot;zł&quot;* \(#,##0.00\);_(&quot;zł&quot;* &quot;-&quot;??_);_(@_)">
                  <c:v>181293.90360107771</c:v>
                </c:pt>
                <c:pt idx="50" formatCode="_(&quot;zł&quot;* #,##0.00_);_(&quot;zł&quot;* \(#,##0.00\);_(&quot;zł&quot;* &quot;-&quot;??_);_(@_)">
                  <c:v>195714.12816033958</c:v>
                </c:pt>
                <c:pt idx="51" formatCode="_(&quot;zł&quot;* #,##0.00_);_(&quot;zł&quot;* \(#,##0.00\);_(&quot;zł&quot;* &quot;-&quot;??_);_(@_)">
                  <c:v>203214.65016127529</c:v>
                </c:pt>
                <c:pt idx="52" formatCode="_(&quot;zł&quot;* #,##0.00_);_(&quot;zł&quot;* \(#,##0.00\);_(&quot;zł&quot;* &quot;-&quot;??_);_(@_)">
                  <c:v>212261.65943610313</c:v>
                </c:pt>
                <c:pt idx="53" formatCode="_(&quot;zł&quot;* #,##0.00_);_(&quot;zł&quot;* \(#,##0.00\);_(&quot;zł&quot;* &quot;-&quot;??_);_(@_)">
                  <c:v>220076.91177374951</c:v>
                </c:pt>
                <c:pt idx="54" formatCode="_(&quot;zł&quot;* #,##0.00_);_(&quot;zł&quot;* \(#,##0.00\);_(&quot;zł&quot;* &quot;-&quot;??_);_(@_)">
                  <c:v>233214.52890580485</c:v>
                </c:pt>
                <c:pt idx="55" formatCode="_(&quot;zł&quot;* #,##0.00_);_(&quot;zł&quot;* \(#,##0.00\);_(&quot;zł&quot;* &quot;-&quot;??_);_(@_)">
                  <c:v>231679.07674453576</c:v>
                </c:pt>
                <c:pt idx="56" formatCode="_(&quot;zł&quot;* #,##0.00_);_(&quot;zł&quot;* \(#,##0.00\);_(&quot;zł&quot;* &quot;-&quot;??_);_(@_)">
                  <c:v>240030.01959235914</c:v>
                </c:pt>
                <c:pt idx="57" formatCode="_(&quot;zł&quot;* #,##0.00_);_(&quot;zł&quot;* \(#,##0.00\);_(&quot;zł&quot;* &quot;-&quot;??_);_(@_)">
                  <c:v>248776.46686413375</c:v>
                </c:pt>
                <c:pt idx="58" formatCode="_(&quot;zł&quot;* #,##0.00_);_(&quot;zł&quot;* \(#,##0.00\);_(&quot;zł&quot;* &quot;-&quot;??_);_(@_)">
                  <c:v>283156.6405598261</c:v>
                </c:pt>
                <c:pt idx="59" formatCode="_(&quot;zł&quot;* #,##0.00_);_(&quot;zł&quot;* \(#,##0.00\);_(&quot;zł&quot;* &quot;-&quot;??_);_(@_)">
                  <c:v>309669.50848420861</c:v>
                </c:pt>
                <c:pt idx="60" formatCode="_(&quot;zł&quot;* #,##0.00_);_(&quot;zł&quot;* \(#,##0.00\);_(&quot;zł&quot;* &quot;-&quot;??_);_(@_)">
                  <c:v>206133.4642903466</c:v>
                </c:pt>
                <c:pt idx="61" formatCode="_(&quot;zł&quot;* #,##0.00_);_(&quot;zł&quot;* \(#,##0.00\);_(&quot;zł&quot;* &quot;-&quot;??_);_(@_)">
                  <c:v>211473.53075451596</c:v>
                </c:pt>
                <c:pt idx="62" formatCode="_(&quot;zł&quot;* #,##0.00_);_(&quot;zł&quot;* \(#,##0.00\);_(&quot;zł&quot;* &quot;-&quot;??_);_(@_)">
                  <c:v>225407.68772502933</c:v>
                </c:pt>
                <c:pt idx="63" formatCode="_(&quot;zł&quot;* #,##0.00_);_(&quot;zł&quot;* \(#,##0.00\);_(&quot;zł&quot;* &quot;-&quot;??_);_(@_)">
                  <c:v>232495.45849662551</c:v>
                </c:pt>
                <c:pt idx="64" formatCode="_(&quot;zł&quot;* #,##0.00_);_(&quot;zł&quot;* \(#,##0.00\);_(&quot;zł&quot;* &quot;-&quot;??_);_(@_)">
                  <c:v>241185.4558867728</c:v>
                </c:pt>
                <c:pt idx="65" formatCode="_(&quot;zł&quot;* #,##0.00_);_(&quot;zł&quot;* \(#,##0.00\);_(&quot;zł&quot;* &quot;-&quot;??_);_(@_)">
                  <c:v>248687.47644862827</c:v>
                </c:pt>
                <c:pt idx="66" formatCode="_(&quot;zł&quot;* #,##0.00_);_(&quot;zł&quot;* \(#,##0.00\);_(&quot;zł&quot;* &quot;-&quot;??_);_(@_)">
                  <c:v>261547.12063052336</c:v>
                </c:pt>
                <c:pt idx="67" formatCode="_(&quot;zł&quot;* #,##0.00_);_(&quot;zł&quot;* \(#,##0.00\);_(&quot;zł&quot;* &quot;-&quot;??_);_(@_)">
                  <c:v>259762.66298409543</c:v>
                </c:pt>
                <c:pt idx="68" formatCode="_(&quot;zł&quot;* #,##0.00_);_(&quot;zł&quot;* \(#,##0.00\);_(&quot;zł&quot;* &quot;-&quot;??_);_(@_)">
                  <c:v>267888.78951044357</c:v>
                </c:pt>
                <c:pt idx="69" formatCode="_(&quot;zł&quot;* #,##0.00_);_(&quot;zł&quot;* \(#,##0.00\);_(&quot;zł&quot;* &quot;-&quot;??_);_(@_)">
                  <c:v>276430.89564741845</c:v>
                </c:pt>
                <c:pt idx="70" formatCode="_(&quot;zł&quot;* #,##0.00_);_(&quot;zł&quot;* \(#,##0.00\);_(&quot;zł&quot;* &quot;-&quot;??_);_(@_)">
                  <c:v>310624.26052181603</c:v>
                </c:pt>
                <c:pt idx="71" formatCode="_(&quot;zł&quot;* #,##0.00_);_(&quot;zł&quot;* \(#,##0.00\);_(&quot;zł&quot;* &quot;-&quot;??_);_(@_)">
                  <c:v>336965.48167711846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4A-498B-B767-3F4CF24CB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377280"/>
        <c:axId val="1433376800"/>
      </c:lineChart>
      <c:catAx>
        <c:axId val="14333772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76800"/>
        <c:crosses val="autoZero"/>
        <c:auto val="1"/>
        <c:lblAlgn val="ctr"/>
        <c:lblOffset val="100"/>
        <c:noMultiLvlLbl val="0"/>
      </c:catAx>
      <c:valAx>
        <c:axId val="14333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7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0</xdr:row>
      <xdr:rowOff>14286</xdr:rowOff>
    </xdr:from>
    <xdr:to>
      <xdr:col>17</xdr:col>
      <xdr:colOff>38099</xdr:colOff>
      <xdr:row>22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4BEDA-ED1F-D9B5-6AF5-D4585C04D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cper Cichy" refreshedDate="46232.449880324071" createdVersion="8" refreshedVersion="8" minRefreshableVersion="3" recordCount="48" xr:uid="{6F0D01B4-0A31-47B7-BBE1-23C29E9C4471}">
  <cacheSource type="worksheet">
    <worksheetSource name="gemini_code_1785314740702"/>
  </cacheSource>
  <cacheFields count="5">
    <cacheField name="Date" numFmtId="14">
      <sharedItems containsSemiMixedTypes="0" containsNonDate="0" containsDate="1" containsString="0" minDate="2018-01-31T00:00:00" maxDate="2022-01-01T00:00:00" count="48"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</sharedItems>
      <fieldGroup par="4"/>
    </cacheField>
    <cacheField name="Total_Revenue" numFmtId="44">
      <sharedItems containsSemiMixedTypes="0" containsString="0" containsNumber="1" containsInteger="1" minValue="78288" maxValue="283338"/>
    </cacheField>
    <cacheField name="Months (Date)" numFmtId="0" databaseField="0">
      <fieldGroup base="0">
        <rangePr groupBy="months" startDate="2018-01-31T00:00:00" endDate="2022-01-01T00:00:00"/>
        <groupItems count="14">
          <s v="&lt;31.01.201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2"/>
        </groupItems>
      </fieldGroup>
    </cacheField>
    <cacheField name="Quarters (Date)" numFmtId="0" databaseField="0">
      <fieldGroup base="0">
        <rangePr groupBy="quarters" startDate="2018-01-31T00:00:00" endDate="2022-01-01T00:00:00"/>
        <groupItems count="6">
          <s v="&lt;31.01.2018"/>
          <s v="Qtr1"/>
          <s v="Qtr2"/>
          <s v="Qtr3"/>
          <s v="Qtr4"/>
          <s v="&gt;01.01.2022"/>
        </groupItems>
      </fieldGroup>
    </cacheField>
    <cacheField name="Years (Date)" numFmtId="0" databaseField="0">
      <fieldGroup base="0">
        <rangePr groupBy="years" startDate="2018-01-31T00:00:00" endDate="2022-01-01T00:00:00"/>
        <groupItems count="7">
          <s v="&lt;31.01.2018"/>
          <s v="2018"/>
          <s v="2019"/>
          <s v="2020"/>
          <s v="2021"/>
          <s v="2022"/>
          <s v="&gt;01.0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78288"/>
  </r>
  <r>
    <x v="1"/>
    <n v="87490"/>
  </r>
  <r>
    <x v="2"/>
    <n v="91886"/>
  </r>
  <r>
    <x v="3"/>
    <n v="95136"/>
  </r>
  <r>
    <x v="4"/>
    <n v="102764"/>
  </r>
  <r>
    <x v="5"/>
    <n v="112936"/>
  </r>
  <r>
    <x v="6"/>
    <n v="120724"/>
  </r>
  <r>
    <x v="7"/>
    <n v="121381"/>
  </r>
  <r>
    <x v="8"/>
    <n v="126643"/>
  </r>
  <r>
    <x v="9"/>
    <n v="130616"/>
  </r>
  <r>
    <x v="10"/>
    <n v="168356"/>
  </r>
  <r>
    <x v="11"/>
    <n v="193822"/>
  </r>
  <r>
    <x v="12"/>
    <n v="93274"/>
  </r>
  <r>
    <x v="13"/>
    <n v="97841"/>
  </r>
  <r>
    <x v="14"/>
    <n v="111019"/>
  </r>
  <r>
    <x v="15"/>
    <n v="110922"/>
  </r>
  <r>
    <x v="16"/>
    <n v="120940"/>
  </r>
  <r>
    <x v="17"/>
    <n v="128667"/>
  </r>
  <r>
    <x v="18"/>
    <n v="144670"/>
  </r>
  <r>
    <x v="19"/>
    <n v="138214"/>
  </r>
  <r>
    <x v="20"/>
    <n v="147609"/>
  </r>
  <r>
    <x v="21"/>
    <n v="159403"/>
  </r>
  <r>
    <x v="22"/>
    <n v="189083"/>
  </r>
  <r>
    <x v="23"/>
    <n v="215115"/>
  </r>
  <r>
    <x v="24"/>
    <n v="107381"/>
  </r>
  <r>
    <x v="25"/>
    <n v="111581"/>
  </r>
  <r>
    <x v="26"/>
    <n v="124997"/>
  </r>
  <r>
    <x v="27"/>
    <n v="138012"/>
  </r>
  <r>
    <x v="28"/>
    <n v="144520"/>
  </r>
  <r>
    <x v="29"/>
    <n v="156022"/>
  </r>
  <r>
    <x v="30"/>
    <n v="166299"/>
  </r>
  <r>
    <x v="31"/>
    <n v="161314"/>
  </r>
  <r>
    <x v="32"/>
    <n v="161973"/>
  </r>
  <r>
    <x v="33"/>
    <n v="176488"/>
  </r>
  <r>
    <x v="34"/>
    <n v="217754"/>
  </r>
  <r>
    <x v="35"/>
    <n v="239478"/>
  </r>
  <r>
    <x v="36"/>
    <n v="126492"/>
  </r>
  <r>
    <x v="37"/>
    <n v="127238"/>
  </r>
  <r>
    <x v="38"/>
    <n v="148107"/>
  </r>
  <r>
    <x v="39"/>
    <n v="143181"/>
  </r>
  <r>
    <x v="40"/>
    <n v="162951"/>
  </r>
  <r>
    <x v="41"/>
    <n v="164038"/>
  </r>
  <r>
    <x v="42"/>
    <n v="181593"/>
  </r>
  <r>
    <x v="43"/>
    <n v="164841"/>
  </r>
  <r>
    <x v="44"/>
    <n v="193137"/>
  </r>
  <r>
    <x v="45"/>
    <n v="193334"/>
  </r>
  <r>
    <x v="46"/>
    <n v="230019"/>
  </r>
  <r>
    <x v="47"/>
    <n v="2833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DB23A-B9AE-482F-AC44-976A6EDE31C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4"/>
    <field x="3"/>
    <field x="2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4A10AA-1A26-4302-ADF3-ED25210EAB2A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6AB49D-5601-4C7C-81BC-1DE4E54C2F29}" autoFormatId="16" applyNumberFormats="0" applyBorderFormats="0" applyFontFormats="0" applyPatternFormats="0" applyAlignmentFormats="0" applyWidthHeightFormats="0">
  <queryTableRefresh nextId="3">
    <queryTableFields count="2">
      <queryTableField id="1" name="Parameter" tableColumnId="1"/>
      <queryTableField id="2" name="Valu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48102-583D-41B9-B4D5-7FDB82C21484}" name="Table2" displayName="Table2" ref="A1:E73" totalsRowShown="0">
  <autoFilter ref="A1:E73" xr:uid="{02448102-583D-41B9-B4D5-7FDB82C21484}"/>
  <tableColumns count="5">
    <tableColumn id="1" xr3:uid="{4C889082-6699-4F4D-90DE-99A85B7C1756}" name="Date" dataDxfId="4"/>
    <tableColumn id="2" xr3:uid="{9207A6C3-F1E0-4DB6-B91B-E8C88162B058}" name=" Total_Revenue "/>
    <tableColumn id="3" xr3:uid="{724CE254-2E04-4BB7-B93A-AED6F32F44D7}" name="Forecast( Total_Revenue )" dataDxfId="3">
      <calculatedColumnFormula>_xlfn.FORECAST.ETS(A2,$B$2:$B$49,$A$2:$A$49,1,1)</calculatedColumnFormula>
    </tableColumn>
    <tableColumn id="4" xr3:uid="{15E0B284-E99C-4D3E-B54A-28A35B565A5B}" name="Lower Confidence Bound( Total_Revenue )" dataDxfId="2">
      <calculatedColumnFormula>C2-_xlfn.FORECAST.ETS.CONFINT(A2,$B$2:$B$49,$A$2:$A$49,0.9,1,1)</calculatedColumnFormula>
    </tableColumn>
    <tableColumn id="5" xr3:uid="{9A2591CA-988C-43AE-96D5-08E6333AF8F6}" name="Upper Confidence Bound( Total_Revenue )" dataDxfId="1">
      <calculatedColumnFormula>C2+_xlfn.FORECAST.ETS.CONFINT(A2,$B$2:$B$49,$A$2:$A$49,0.9,1,1)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B9904-91E4-48CC-9AB9-E2988674F3A4}" name="gemini_code_1785314740702" displayName="gemini_code_1785314740702" ref="A1:B49" tableType="queryTable" totalsRowShown="0">
  <autoFilter ref="A1:B49" xr:uid="{94AB9904-91E4-48CC-9AB9-E2988674F3A4}"/>
  <tableColumns count="2">
    <tableColumn id="1" xr3:uid="{24A5DE15-A5F9-41C2-897B-DD0F4E3081B1}" uniqueName="1" name="Date" queryTableFieldId="1" dataDxfId="5"/>
    <tableColumn id="2" xr3:uid="{09EEF86A-AD0B-4C26-87E5-B294A35EBB13}" uniqueName="2" name="Total_Revenue" queryTableFieldId="2" dataCellStyle="Curr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A21FA5-83BE-4A61-9CAF-876EFD3E4B41}" name="gemini_code_1785314749976" displayName="gemini_code_1785314749976" ref="A1:B5" tableType="queryTable" totalsRowShown="0">
  <autoFilter ref="A1:B5" xr:uid="{56A21FA5-83BE-4A61-9CAF-876EFD3E4B41}"/>
  <tableColumns count="2">
    <tableColumn id="1" xr3:uid="{63887CEF-5710-4066-B728-9597A73CC962}" uniqueName="1" name="Parameter" queryTableFieldId="1" dataDxfId="0"/>
    <tableColumn id="2" xr3:uid="{74DD30F0-D434-430E-A6AA-224209D4B5A7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6574-5029-4DA9-9FB1-1B60FC746911}">
  <sheetPr>
    <tabColor rgb="FFFF0000"/>
  </sheetPr>
  <dimension ref="A1:E73"/>
  <sheetViews>
    <sheetView showGridLines="0" workbookViewId="0">
      <selection activeCell="O30" sqref="O30"/>
    </sheetView>
  </sheetViews>
  <sheetFormatPr defaultRowHeight="15" x14ac:dyDescent="0.25"/>
  <cols>
    <col min="1" max="1" width="10.140625" bestFit="1" customWidth="1"/>
    <col min="2" max="2" width="17.28515625" customWidth="1"/>
    <col min="3" max="3" width="26.140625" customWidth="1"/>
    <col min="4" max="4" width="40.85546875" customWidth="1"/>
    <col min="5" max="5" width="4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>
        <v>43131</v>
      </c>
      <c r="B2" s="5">
        <v>78288</v>
      </c>
    </row>
    <row r="3" spans="1:5" x14ac:dyDescent="0.25">
      <c r="A3" s="1">
        <v>43159</v>
      </c>
      <c r="B3" s="5">
        <v>87490</v>
      </c>
    </row>
    <row r="4" spans="1:5" x14ac:dyDescent="0.25">
      <c r="A4" s="1">
        <v>43190</v>
      </c>
      <c r="B4" s="5">
        <v>91886</v>
      </c>
    </row>
    <row r="5" spans="1:5" x14ac:dyDescent="0.25">
      <c r="A5" s="1">
        <v>43220</v>
      </c>
      <c r="B5" s="5">
        <v>95136</v>
      </c>
    </row>
    <row r="6" spans="1:5" x14ac:dyDescent="0.25">
      <c r="A6" s="1">
        <v>43251</v>
      </c>
      <c r="B6" s="5">
        <v>102764</v>
      </c>
    </row>
    <row r="7" spans="1:5" x14ac:dyDescent="0.25">
      <c r="A7" s="1">
        <v>43281</v>
      </c>
      <c r="B7" s="5">
        <v>112936</v>
      </c>
    </row>
    <row r="8" spans="1:5" x14ac:dyDescent="0.25">
      <c r="A8" s="1">
        <v>43312</v>
      </c>
      <c r="B8" s="5">
        <v>120724</v>
      </c>
    </row>
    <row r="9" spans="1:5" x14ac:dyDescent="0.25">
      <c r="A9" s="1">
        <v>43343</v>
      </c>
      <c r="B9" s="5">
        <v>121381</v>
      </c>
    </row>
    <row r="10" spans="1:5" x14ac:dyDescent="0.25">
      <c r="A10" s="1">
        <v>43373</v>
      </c>
      <c r="B10" s="5">
        <v>126643</v>
      </c>
    </row>
    <row r="11" spans="1:5" x14ac:dyDescent="0.25">
      <c r="A11" s="1">
        <v>43404</v>
      </c>
      <c r="B11" s="5">
        <v>130616</v>
      </c>
    </row>
    <row r="12" spans="1:5" x14ac:dyDescent="0.25">
      <c r="A12" s="1">
        <v>43434</v>
      </c>
      <c r="B12" s="5">
        <v>168356</v>
      </c>
    </row>
    <row r="13" spans="1:5" x14ac:dyDescent="0.25">
      <c r="A13" s="1">
        <v>43465</v>
      </c>
      <c r="B13" s="5">
        <v>193822</v>
      </c>
    </row>
    <row r="14" spans="1:5" x14ac:dyDescent="0.25">
      <c r="A14" s="1">
        <v>43496</v>
      </c>
      <c r="B14" s="5">
        <v>93274</v>
      </c>
    </row>
    <row r="15" spans="1:5" x14ac:dyDescent="0.25">
      <c r="A15" s="1">
        <v>43524</v>
      </c>
      <c r="B15" s="5">
        <v>97841</v>
      </c>
    </row>
    <row r="16" spans="1:5" x14ac:dyDescent="0.25">
      <c r="A16" s="1">
        <v>43555</v>
      </c>
      <c r="B16" s="5">
        <v>111019</v>
      </c>
    </row>
    <row r="17" spans="1:2" x14ac:dyDescent="0.25">
      <c r="A17" s="1">
        <v>43585</v>
      </c>
      <c r="B17" s="5">
        <v>110922</v>
      </c>
    </row>
    <row r="18" spans="1:2" x14ac:dyDescent="0.25">
      <c r="A18" s="1">
        <v>43616</v>
      </c>
      <c r="B18" s="5">
        <v>120940</v>
      </c>
    </row>
    <row r="19" spans="1:2" x14ac:dyDescent="0.25">
      <c r="A19" s="1">
        <v>43646</v>
      </c>
      <c r="B19" s="5">
        <v>128667</v>
      </c>
    </row>
    <row r="20" spans="1:2" x14ac:dyDescent="0.25">
      <c r="A20" s="1">
        <v>43677</v>
      </c>
      <c r="B20" s="5">
        <v>144670</v>
      </c>
    </row>
    <row r="21" spans="1:2" x14ac:dyDescent="0.25">
      <c r="A21" s="1">
        <v>43708</v>
      </c>
      <c r="B21" s="5">
        <v>138214</v>
      </c>
    </row>
    <row r="22" spans="1:2" x14ac:dyDescent="0.25">
      <c r="A22" s="1">
        <v>43738</v>
      </c>
      <c r="B22" s="5">
        <v>147609</v>
      </c>
    </row>
    <row r="23" spans="1:2" x14ac:dyDescent="0.25">
      <c r="A23" s="1">
        <v>43769</v>
      </c>
      <c r="B23" s="5">
        <v>159403</v>
      </c>
    </row>
    <row r="24" spans="1:2" x14ac:dyDescent="0.25">
      <c r="A24" s="1">
        <v>43799</v>
      </c>
      <c r="B24" s="5">
        <v>189083</v>
      </c>
    </row>
    <row r="25" spans="1:2" x14ac:dyDescent="0.25">
      <c r="A25" s="1">
        <v>43830</v>
      </c>
      <c r="B25" s="5">
        <v>215115</v>
      </c>
    </row>
    <row r="26" spans="1:2" x14ac:dyDescent="0.25">
      <c r="A26" s="1">
        <v>43861</v>
      </c>
      <c r="B26" s="5">
        <v>107381</v>
      </c>
    </row>
    <row r="27" spans="1:2" x14ac:dyDescent="0.25">
      <c r="A27" s="1">
        <v>43890</v>
      </c>
      <c r="B27" s="5">
        <v>111581</v>
      </c>
    </row>
    <row r="28" spans="1:2" x14ac:dyDescent="0.25">
      <c r="A28" s="1">
        <v>43921</v>
      </c>
      <c r="B28" s="5">
        <v>124997</v>
      </c>
    </row>
    <row r="29" spans="1:2" x14ac:dyDescent="0.25">
      <c r="A29" s="1">
        <v>43951</v>
      </c>
      <c r="B29" s="5">
        <v>138012</v>
      </c>
    </row>
    <row r="30" spans="1:2" x14ac:dyDescent="0.25">
      <c r="A30" s="1">
        <v>43982</v>
      </c>
      <c r="B30" s="5">
        <v>144520</v>
      </c>
    </row>
    <row r="31" spans="1:2" x14ac:dyDescent="0.25">
      <c r="A31" s="1">
        <v>44012</v>
      </c>
      <c r="B31" s="5">
        <v>156022</v>
      </c>
    </row>
    <row r="32" spans="1:2" x14ac:dyDescent="0.25">
      <c r="A32" s="1">
        <v>44043</v>
      </c>
      <c r="B32" s="5">
        <v>166299</v>
      </c>
    </row>
    <row r="33" spans="1:2" x14ac:dyDescent="0.25">
      <c r="A33" s="1">
        <v>44074</v>
      </c>
      <c r="B33" s="5">
        <v>161314</v>
      </c>
    </row>
    <row r="34" spans="1:2" x14ac:dyDescent="0.25">
      <c r="A34" s="1">
        <v>44104</v>
      </c>
      <c r="B34" s="5">
        <v>161973</v>
      </c>
    </row>
    <row r="35" spans="1:2" x14ac:dyDescent="0.25">
      <c r="A35" s="1">
        <v>44135</v>
      </c>
      <c r="B35" s="5">
        <v>176488</v>
      </c>
    </row>
    <row r="36" spans="1:2" x14ac:dyDescent="0.25">
      <c r="A36" s="1">
        <v>44165</v>
      </c>
      <c r="B36" s="5">
        <v>217754</v>
      </c>
    </row>
    <row r="37" spans="1:2" x14ac:dyDescent="0.25">
      <c r="A37" s="1">
        <v>44196</v>
      </c>
      <c r="B37" s="5">
        <v>239478</v>
      </c>
    </row>
    <row r="38" spans="1:2" x14ac:dyDescent="0.25">
      <c r="A38" s="1">
        <v>44227</v>
      </c>
      <c r="B38" s="5">
        <v>126492</v>
      </c>
    </row>
    <row r="39" spans="1:2" x14ac:dyDescent="0.25">
      <c r="A39" s="1">
        <v>44255</v>
      </c>
      <c r="B39" s="5">
        <v>127238</v>
      </c>
    </row>
    <row r="40" spans="1:2" x14ac:dyDescent="0.25">
      <c r="A40" s="1">
        <v>44286</v>
      </c>
      <c r="B40" s="5">
        <v>148107</v>
      </c>
    </row>
    <row r="41" spans="1:2" x14ac:dyDescent="0.25">
      <c r="A41" s="1">
        <v>44316</v>
      </c>
      <c r="B41" s="5">
        <v>143181</v>
      </c>
    </row>
    <row r="42" spans="1:2" x14ac:dyDescent="0.25">
      <c r="A42" s="1">
        <v>44347</v>
      </c>
      <c r="B42" s="5">
        <v>162951</v>
      </c>
    </row>
    <row r="43" spans="1:2" x14ac:dyDescent="0.25">
      <c r="A43" s="1">
        <v>44377</v>
      </c>
      <c r="B43" s="5">
        <v>164038</v>
      </c>
    </row>
    <row r="44" spans="1:2" x14ac:dyDescent="0.25">
      <c r="A44" s="1">
        <v>44408</v>
      </c>
      <c r="B44" s="5">
        <v>181593</v>
      </c>
    </row>
    <row r="45" spans="1:2" x14ac:dyDescent="0.25">
      <c r="A45" s="1">
        <v>44439</v>
      </c>
      <c r="B45" s="5">
        <v>164841</v>
      </c>
    </row>
    <row r="46" spans="1:2" x14ac:dyDescent="0.25">
      <c r="A46" s="1">
        <v>44469</v>
      </c>
      <c r="B46" s="5">
        <v>193137</v>
      </c>
    </row>
    <row r="47" spans="1:2" x14ac:dyDescent="0.25">
      <c r="A47" s="1">
        <v>44500</v>
      </c>
      <c r="B47" s="5">
        <v>193334</v>
      </c>
    </row>
    <row r="48" spans="1:2" x14ac:dyDescent="0.25">
      <c r="A48" s="1">
        <v>44530</v>
      </c>
      <c r="B48" s="5">
        <v>230019</v>
      </c>
    </row>
    <row r="49" spans="1:5" x14ac:dyDescent="0.25">
      <c r="A49" s="1">
        <v>44561</v>
      </c>
      <c r="B49" s="5">
        <v>283338</v>
      </c>
      <c r="C49" s="5">
        <v>283338</v>
      </c>
      <c r="D49" s="5">
        <v>283338</v>
      </c>
      <c r="E49" s="5">
        <v>283338</v>
      </c>
    </row>
    <row r="50" spans="1:5" x14ac:dyDescent="0.25">
      <c r="A50" s="1">
        <v>44592</v>
      </c>
      <c r="C50" s="5">
        <f>_xlfn.FORECAST.ETS(A50,$B$2:$B$49,$A$2:$A$49,1,1)</f>
        <v>164627.48416259562</v>
      </c>
      <c r="D50" s="5">
        <f>C50-_xlfn.FORECAST.ETS.CONFINT(A50,$B$2:$B$49,$A$2:$A$49,0.9,1,1)</f>
        <v>153888.0183484205</v>
      </c>
      <c r="E50" s="5">
        <f>C50+_xlfn.FORECAST.ETS.CONFINT(A50,$B$2:$B$49,$A$2:$A$49,0.9,1,1)</f>
        <v>175366.94997677073</v>
      </c>
    </row>
    <row r="51" spans="1:5" x14ac:dyDescent="0.25">
      <c r="A51" s="1">
        <v>44623</v>
      </c>
      <c r="C51" s="5">
        <f>_xlfn.FORECAST.ETS(A51,$B$2:$B$49,$A$2:$A$49,1,1)</f>
        <v>169277.19477279423</v>
      </c>
      <c r="D51" s="5">
        <f>C51-_xlfn.FORECAST.ETS.CONFINT(A51,$B$2:$B$49,$A$2:$A$49,0.9,1,1)</f>
        <v>157260.48594451076</v>
      </c>
      <c r="E51" s="5">
        <f>C51+_xlfn.FORECAST.ETS.CONFINT(A51,$B$2:$B$49,$A$2:$A$49,0.9,1,1)</f>
        <v>181293.90360107771</v>
      </c>
    </row>
    <row r="52" spans="1:5" x14ac:dyDescent="0.25">
      <c r="A52" s="1">
        <v>44651</v>
      </c>
      <c r="C52" s="5">
        <f>_xlfn.FORECAST.ETS(A52,$B$2:$B$49,$A$2:$A$49,1,1)</f>
        <v>182539.0619760557</v>
      </c>
      <c r="D52" s="5">
        <f>C52-_xlfn.FORECAST.ETS.CONFINT(A52,$B$2:$B$49,$A$2:$A$49,0.9,1,1)</f>
        <v>169363.99579177183</v>
      </c>
      <c r="E52" s="5">
        <f>C52+_xlfn.FORECAST.ETS.CONFINT(A52,$B$2:$B$49,$A$2:$A$49,0.9,1,1)</f>
        <v>195714.12816033958</v>
      </c>
    </row>
    <row r="53" spans="1:5" x14ac:dyDescent="0.25">
      <c r="A53" s="1">
        <v>44682</v>
      </c>
      <c r="C53" s="5">
        <f>_xlfn.FORECAST.ETS(A53,$B$2:$B$49,$A$2:$A$49,1,1)</f>
        <v>188971.06949012275</v>
      </c>
      <c r="D53" s="5">
        <f>C53-_xlfn.FORECAST.ETS.CONFINT(A53,$B$2:$B$49,$A$2:$A$49,0.9,1,1)</f>
        <v>174727.48881897022</v>
      </c>
      <c r="E53" s="5">
        <f>C53+_xlfn.FORECAST.ETS.CONFINT(A53,$B$2:$B$49,$A$2:$A$49,0.9,1,1)</f>
        <v>203214.65016127529</v>
      </c>
    </row>
    <row r="54" spans="1:5" x14ac:dyDescent="0.25">
      <c r="A54" s="1">
        <v>44712</v>
      </c>
      <c r="C54" s="5">
        <f>_xlfn.FORECAST.ETS(A54,$B$2:$B$49,$A$2:$A$49,1,1)</f>
        <v>197020.49196565954</v>
      </c>
      <c r="D54" s="5">
        <f>C54-_xlfn.FORECAST.ETS.CONFINT(A54,$B$2:$B$49,$A$2:$A$49,0.9,1,1)</f>
        <v>181779.32449521596</v>
      </c>
      <c r="E54" s="5">
        <f>C54+_xlfn.FORECAST.ETS.CONFINT(A54,$B$2:$B$49,$A$2:$A$49,0.9,1,1)</f>
        <v>212261.65943610313</v>
      </c>
    </row>
    <row r="55" spans="1:5" x14ac:dyDescent="0.25">
      <c r="A55" s="1">
        <v>44743</v>
      </c>
      <c r="C55" s="5">
        <f>_xlfn.FORECAST.ETS(A55,$B$2:$B$49,$A$2:$A$49,1,1)</f>
        <v>203895.95425535942</v>
      </c>
      <c r="D55" s="5">
        <f>C55-_xlfn.FORECAST.ETS.CONFINT(A55,$B$2:$B$49,$A$2:$A$49,0.9,1,1)</f>
        <v>187714.99673696933</v>
      </c>
      <c r="E55" s="5">
        <f>C55+_xlfn.FORECAST.ETS.CONFINT(A55,$B$2:$B$49,$A$2:$A$49,0.9,1,1)</f>
        <v>220076.91177374951</v>
      </c>
    </row>
    <row r="56" spans="1:5" x14ac:dyDescent="0.25">
      <c r="A56" s="1">
        <v>44773</v>
      </c>
      <c r="C56" s="5">
        <f>_xlfn.FORECAST.ETS(A56,$B$2:$B$49,$A$2:$A$49,1,1)</f>
        <v>216142.02404982684</v>
      </c>
      <c r="D56" s="5">
        <f>C56-_xlfn.FORECAST.ETS.CONFINT(A56,$B$2:$B$49,$A$2:$A$49,0.9,1,1)</f>
        <v>199069.51919384883</v>
      </c>
      <c r="E56" s="5">
        <f>C56+_xlfn.FORECAST.ETS.CONFINT(A56,$B$2:$B$49,$A$2:$A$49,0.9,1,1)</f>
        <v>233214.52890580485</v>
      </c>
    </row>
    <row r="57" spans="1:5" x14ac:dyDescent="0.25">
      <c r="A57" s="1">
        <v>44804</v>
      </c>
      <c r="C57" s="5">
        <f>_xlfn.FORECAST.ETS(A57,$B$2:$B$49,$A$2:$A$49,1,1)</f>
        <v>213756.0601437873</v>
      </c>
      <c r="D57" s="5">
        <f>C57-_xlfn.FORECAST.ETS.CONFINT(A57,$B$2:$B$49,$A$2:$A$49,0.9,1,1)</f>
        <v>195833.04354303883</v>
      </c>
      <c r="E57" s="5">
        <f>C57+_xlfn.FORECAST.ETS.CONFINT(A57,$B$2:$B$49,$A$2:$A$49,0.9,1,1)</f>
        <v>231679.07674453576</v>
      </c>
    </row>
    <row r="58" spans="1:5" x14ac:dyDescent="0.25">
      <c r="A58" s="1">
        <v>44835</v>
      </c>
      <c r="C58" s="5">
        <f>_xlfn.FORECAST.ETS(A58,$B$2:$B$49,$A$2:$A$49,1,1)</f>
        <v>221291.93209859042</v>
      </c>
      <c r="D58" s="5">
        <f>C58-_xlfn.FORECAST.ETS.CONFINT(A58,$B$2:$B$49,$A$2:$A$49,0.9,1,1)</f>
        <v>202553.8446048217</v>
      </c>
      <c r="E58" s="5">
        <f>C58+_xlfn.FORECAST.ETS.CONFINT(A58,$B$2:$B$49,$A$2:$A$49,0.9,1,1)</f>
        <v>240030.01959235914</v>
      </c>
    </row>
    <row r="59" spans="1:5" x14ac:dyDescent="0.25">
      <c r="A59" s="1">
        <v>44865</v>
      </c>
      <c r="C59" s="5">
        <f>_xlfn.FORECAST.ETS(A59,$B$2:$B$49,$A$2:$A$49,1,1)</f>
        <v>229254.30383618199</v>
      </c>
      <c r="D59" s="5">
        <f>C59-_xlfn.FORECAST.ETS.CONFINT(A59,$B$2:$B$49,$A$2:$A$49,0.9,1,1)</f>
        <v>209732.14080823024</v>
      </c>
      <c r="E59" s="5">
        <f>C59+_xlfn.FORECAST.ETS.CONFINT(A59,$B$2:$B$49,$A$2:$A$49,0.9,1,1)</f>
        <v>248776.46686413375</v>
      </c>
    </row>
    <row r="60" spans="1:5" x14ac:dyDescent="0.25">
      <c r="A60" s="1">
        <v>44896</v>
      </c>
      <c r="C60" s="5">
        <f>_xlfn.FORECAST.ETS(A60,$B$2:$B$49,$A$2:$A$49,1,1)</f>
        <v>262877.79607005446</v>
      </c>
      <c r="D60" s="5">
        <f>C60-_xlfn.FORECAST.ETS.CONFINT(A60,$B$2:$B$49,$A$2:$A$49,0.9,1,1)</f>
        <v>242598.95158028285</v>
      </c>
      <c r="E60" s="5">
        <f>C60+_xlfn.FORECAST.ETS.CONFINT(A60,$B$2:$B$49,$A$2:$A$49,0.9,1,1)</f>
        <v>283156.6405598261</v>
      </c>
    </row>
    <row r="61" spans="1:5" x14ac:dyDescent="0.25">
      <c r="A61" s="1">
        <v>44926</v>
      </c>
      <c r="C61" s="5">
        <f>_xlfn.FORECAST.ETS(A61,$B$2:$B$49,$A$2:$A$49,1,1)</f>
        <v>288658.4112437591</v>
      </c>
      <c r="D61" s="5">
        <f>C61-_xlfn.FORECAST.ETS.CONFINT(A61,$B$2:$B$49,$A$2:$A$49,0.9,1,1)</f>
        <v>267647.31400330958</v>
      </c>
      <c r="E61" s="5">
        <f>C61+_xlfn.FORECAST.ETS.CONFINT(A61,$B$2:$B$49,$A$2:$A$49,0.9,1,1)</f>
        <v>309669.50848420861</v>
      </c>
    </row>
    <row r="62" spans="1:5" x14ac:dyDescent="0.25">
      <c r="A62" s="1">
        <v>44957</v>
      </c>
      <c r="C62" s="5">
        <f>_xlfn.FORECAST.ETS(A62,$B$2:$B$49,$A$2:$A$49,1,1)</f>
        <v>184409.34059374128</v>
      </c>
      <c r="D62" s="5">
        <f>C62-_xlfn.FORECAST.ETS.CONFINT(A62,$B$2:$B$49,$A$2:$A$49,0.9,1,1)</f>
        <v>162685.21689713595</v>
      </c>
      <c r="E62" s="5">
        <f>C62+_xlfn.FORECAST.ETS.CONFINT(A62,$B$2:$B$49,$A$2:$A$49,0.9,1,1)</f>
        <v>206133.4642903466</v>
      </c>
    </row>
    <row r="63" spans="1:5" x14ac:dyDescent="0.25">
      <c r="A63" s="1">
        <v>44988</v>
      </c>
      <c r="C63" s="5">
        <f>_xlfn.FORECAST.ETS(A63,$B$2:$B$49,$A$2:$A$49,1,1)</f>
        <v>189059.05120393989</v>
      </c>
      <c r="D63" s="5">
        <f>C63-_xlfn.FORECAST.ETS.CONFINT(A63,$B$2:$B$49,$A$2:$A$49,0.9,1,1)</f>
        <v>166644.57165336382</v>
      </c>
      <c r="E63" s="5">
        <f>C63+_xlfn.FORECAST.ETS.CONFINT(A63,$B$2:$B$49,$A$2:$A$49,0.9,1,1)</f>
        <v>211473.53075451596</v>
      </c>
    </row>
    <row r="64" spans="1:5" x14ac:dyDescent="0.25">
      <c r="A64" s="1">
        <v>45016</v>
      </c>
      <c r="C64" s="5">
        <f>_xlfn.FORECAST.ETS(A64,$B$2:$B$49,$A$2:$A$49,1,1)</f>
        <v>202320.91840720136</v>
      </c>
      <c r="D64" s="5">
        <f>C64-_xlfn.FORECAST.ETS.CONFINT(A64,$B$2:$B$49,$A$2:$A$49,0.9,1,1)</f>
        <v>179234.14908937339</v>
      </c>
      <c r="E64" s="5">
        <f>C64+_xlfn.FORECAST.ETS.CONFINT(A64,$B$2:$B$49,$A$2:$A$49,0.9,1,1)</f>
        <v>225407.68772502933</v>
      </c>
    </row>
    <row r="65" spans="1:5" x14ac:dyDescent="0.25">
      <c r="A65" s="1">
        <v>45047</v>
      </c>
      <c r="C65" s="5">
        <f>_xlfn.FORECAST.ETS(A65,$B$2:$B$49,$A$2:$A$49,1,1)</f>
        <v>208752.92592126841</v>
      </c>
      <c r="D65" s="5">
        <f>C65-_xlfn.FORECAST.ETS.CONFINT(A65,$B$2:$B$49,$A$2:$A$49,0.9,1,1)</f>
        <v>185010.39334591132</v>
      </c>
      <c r="E65" s="5">
        <f>C65+_xlfn.FORECAST.ETS.CONFINT(A65,$B$2:$B$49,$A$2:$A$49,0.9,1,1)</f>
        <v>232495.45849662551</v>
      </c>
    </row>
    <row r="66" spans="1:5" x14ac:dyDescent="0.25">
      <c r="A66" s="1">
        <v>45077</v>
      </c>
      <c r="C66" s="5">
        <f>_xlfn.FORECAST.ETS(A66,$B$2:$B$49,$A$2:$A$49,1,1)</f>
        <v>216802.3483968052</v>
      </c>
      <c r="D66" s="5">
        <f>C66-_xlfn.FORECAST.ETS.CONFINT(A66,$B$2:$B$49,$A$2:$A$49,0.9,1,1)</f>
        <v>192419.2409068376</v>
      </c>
      <c r="E66" s="5">
        <f>C66+_xlfn.FORECAST.ETS.CONFINT(A66,$B$2:$B$49,$A$2:$A$49,0.9,1,1)</f>
        <v>241185.4558867728</v>
      </c>
    </row>
    <row r="67" spans="1:5" x14ac:dyDescent="0.25">
      <c r="A67" s="1">
        <v>45108</v>
      </c>
      <c r="C67" s="5">
        <f>_xlfn.FORECAST.ETS(A67,$B$2:$B$49,$A$2:$A$49,1,1)</f>
        <v>223677.81068650508</v>
      </c>
      <c r="D67" s="5">
        <f>C67-_xlfn.FORECAST.ETS.CONFINT(A67,$B$2:$B$49,$A$2:$A$49,0.9,1,1)</f>
        <v>198668.14492438189</v>
      </c>
      <c r="E67" s="5">
        <f>C67+_xlfn.FORECAST.ETS.CONFINT(A67,$B$2:$B$49,$A$2:$A$49,0.9,1,1)</f>
        <v>248687.47644862827</v>
      </c>
    </row>
    <row r="68" spans="1:5" x14ac:dyDescent="0.25">
      <c r="A68" s="1">
        <v>45138</v>
      </c>
      <c r="C68" s="5">
        <f>_xlfn.FORECAST.ETS(A68,$B$2:$B$49,$A$2:$A$49,1,1)</f>
        <v>235923.8804809725</v>
      </c>
      <c r="D68" s="5">
        <f>C68-_xlfn.FORECAST.ETS.CONFINT(A68,$B$2:$B$49,$A$2:$A$49,0.9,1,1)</f>
        <v>210300.64033142163</v>
      </c>
      <c r="E68" s="5">
        <f>C68+_xlfn.FORECAST.ETS.CONFINT(A68,$B$2:$B$49,$A$2:$A$49,0.9,1,1)</f>
        <v>261547.12063052336</v>
      </c>
    </row>
    <row r="69" spans="1:5" x14ac:dyDescent="0.25">
      <c r="A69" s="1">
        <v>45169</v>
      </c>
      <c r="C69" s="5">
        <f>_xlfn.FORECAST.ETS(A69,$B$2:$B$49,$A$2:$A$49,1,1)</f>
        <v>233537.91657493295</v>
      </c>
      <c r="D69" s="5">
        <f>C69-_xlfn.FORECAST.ETS.CONFINT(A69,$B$2:$B$49,$A$2:$A$49,0.9,1,1)</f>
        <v>207313.17016577048</v>
      </c>
      <c r="E69" s="5">
        <f>C69+_xlfn.FORECAST.ETS.CONFINT(A69,$B$2:$B$49,$A$2:$A$49,0.9,1,1)</f>
        <v>259762.66298409543</v>
      </c>
    </row>
    <row r="70" spans="1:5" x14ac:dyDescent="0.25">
      <c r="A70" s="1">
        <v>45200</v>
      </c>
      <c r="C70" s="5">
        <f>_xlfn.FORECAST.ETS(A70,$B$2:$B$49,$A$2:$A$49,1,1)</f>
        <v>241073.78852973608</v>
      </c>
      <c r="D70" s="5">
        <f>C70-_xlfn.FORECAST.ETS.CONFINT(A70,$B$2:$B$49,$A$2:$A$49,0.9,1,1)</f>
        <v>214258.78754902858</v>
      </c>
      <c r="E70" s="5">
        <f>C70+_xlfn.FORECAST.ETS.CONFINT(A70,$B$2:$B$49,$A$2:$A$49,0.9,1,1)</f>
        <v>267888.78951044357</v>
      </c>
    </row>
    <row r="71" spans="1:5" x14ac:dyDescent="0.25">
      <c r="A71" s="1">
        <v>45230</v>
      </c>
      <c r="C71" s="5">
        <f>_xlfn.FORECAST.ETS(A71,$B$2:$B$49,$A$2:$A$49,1,1)</f>
        <v>249036.16026732765</v>
      </c>
      <c r="D71" s="5">
        <f>C71-_xlfn.FORECAST.ETS.CONFINT(A71,$B$2:$B$49,$A$2:$A$49,0.9,1,1)</f>
        <v>221641.42488723685</v>
      </c>
      <c r="E71" s="5">
        <f>C71+_xlfn.FORECAST.ETS.CONFINT(A71,$B$2:$B$49,$A$2:$A$49,0.9,1,1)</f>
        <v>276430.89564741845</v>
      </c>
    </row>
    <row r="72" spans="1:5" x14ac:dyDescent="0.25">
      <c r="A72" s="1">
        <v>45261</v>
      </c>
      <c r="C72" s="5">
        <f>_xlfn.FORECAST.ETS(A72,$B$2:$B$49,$A$2:$A$49,1,1)</f>
        <v>282659.65250120009</v>
      </c>
      <c r="D72" s="5">
        <f>C72-_xlfn.FORECAST.ETS.CONFINT(A72,$B$2:$B$49,$A$2:$A$49,0.9,1,1)</f>
        <v>254695.04448058418</v>
      </c>
      <c r="E72" s="5">
        <f>C72+_xlfn.FORECAST.ETS.CONFINT(A72,$B$2:$B$49,$A$2:$A$49,0.9,1,1)</f>
        <v>310624.26052181603</v>
      </c>
    </row>
    <row r="73" spans="1:5" x14ac:dyDescent="0.25">
      <c r="A73" s="1">
        <v>45291</v>
      </c>
      <c r="C73" s="5">
        <f>_xlfn.FORECAST.ETS(A73,$B$2:$B$49,$A$2:$A$49,1,1)</f>
        <v>308440.26767490478</v>
      </c>
      <c r="D73" s="5">
        <f>C73-_xlfn.FORECAST.ETS.CONFINT(A73,$B$2:$B$49,$A$2:$A$49,0.9,1,1)</f>
        <v>279915.05367269111</v>
      </c>
      <c r="E73" s="5">
        <f>C73+_xlfn.FORECAST.ETS.CONFINT(A73,$B$2:$B$49,$A$2:$A$49,0.9,1,1)</f>
        <v>336965.48167711846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5AF2-6768-4CCE-862E-07301FFEF264}">
  <sheetPr>
    <tabColor rgb="FFFF0000"/>
  </sheetPr>
  <dimension ref="A1:B49"/>
  <sheetViews>
    <sheetView workbookViewId="0">
      <selection sqref="A1:B49"/>
    </sheetView>
  </sheetViews>
  <sheetFormatPr defaultRowHeight="15" x14ac:dyDescent="0.25"/>
  <cols>
    <col min="1" max="1" width="10.140625" bestFit="1" customWidth="1"/>
    <col min="2" max="2" width="16.7109375" style="2" bestFit="1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v>43131</v>
      </c>
      <c r="B2" s="2">
        <v>78288</v>
      </c>
    </row>
    <row r="3" spans="1:2" x14ac:dyDescent="0.25">
      <c r="A3" s="1">
        <v>43159</v>
      </c>
      <c r="B3" s="2">
        <v>87490</v>
      </c>
    </row>
    <row r="4" spans="1:2" x14ac:dyDescent="0.25">
      <c r="A4" s="1">
        <v>43190</v>
      </c>
      <c r="B4" s="2">
        <v>91886</v>
      </c>
    </row>
    <row r="5" spans="1:2" x14ac:dyDescent="0.25">
      <c r="A5" s="1">
        <v>43220</v>
      </c>
      <c r="B5" s="2">
        <v>95136</v>
      </c>
    </row>
    <row r="6" spans="1:2" x14ac:dyDescent="0.25">
      <c r="A6" s="1">
        <v>43251</v>
      </c>
      <c r="B6" s="2">
        <v>102764</v>
      </c>
    </row>
    <row r="7" spans="1:2" x14ac:dyDescent="0.25">
      <c r="A7" s="1">
        <v>43281</v>
      </c>
      <c r="B7" s="2">
        <v>112936</v>
      </c>
    </row>
    <row r="8" spans="1:2" x14ac:dyDescent="0.25">
      <c r="A8" s="1">
        <v>43312</v>
      </c>
      <c r="B8" s="2">
        <v>120724</v>
      </c>
    </row>
    <row r="9" spans="1:2" x14ac:dyDescent="0.25">
      <c r="A9" s="1">
        <v>43343</v>
      </c>
      <c r="B9" s="2">
        <v>121381</v>
      </c>
    </row>
    <row r="10" spans="1:2" x14ac:dyDescent="0.25">
      <c r="A10" s="1">
        <v>43373</v>
      </c>
      <c r="B10" s="2">
        <v>126643</v>
      </c>
    </row>
    <row r="11" spans="1:2" x14ac:dyDescent="0.25">
      <c r="A11" s="1">
        <v>43404</v>
      </c>
      <c r="B11" s="2">
        <v>130616</v>
      </c>
    </row>
    <row r="12" spans="1:2" x14ac:dyDescent="0.25">
      <c r="A12" s="1">
        <v>43434</v>
      </c>
      <c r="B12" s="2">
        <v>168356</v>
      </c>
    </row>
    <row r="13" spans="1:2" x14ac:dyDescent="0.25">
      <c r="A13" s="1">
        <v>43465</v>
      </c>
      <c r="B13" s="2">
        <v>193822</v>
      </c>
    </row>
    <row r="14" spans="1:2" x14ac:dyDescent="0.25">
      <c r="A14" s="1">
        <v>43496</v>
      </c>
      <c r="B14" s="2">
        <v>93274</v>
      </c>
    </row>
    <row r="15" spans="1:2" x14ac:dyDescent="0.25">
      <c r="A15" s="1">
        <v>43524</v>
      </c>
      <c r="B15" s="2">
        <v>97841</v>
      </c>
    </row>
    <row r="16" spans="1:2" x14ac:dyDescent="0.25">
      <c r="A16" s="1">
        <v>43555</v>
      </c>
      <c r="B16" s="2">
        <v>111019</v>
      </c>
    </row>
    <row r="17" spans="1:2" x14ac:dyDescent="0.25">
      <c r="A17" s="1">
        <v>43585</v>
      </c>
      <c r="B17" s="2">
        <v>110922</v>
      </c>
    </row>
    <row r="18" spans="1:2" x14ac:dyDescent="0.25">
      <c r="A18" s="1">
        <v>43616</v>
      </c>
      <c r="B18" s="2">
        <v>120940</v>
      </c>
    </row>
    <row r="19" spans="1:2" x14ac:dyDescent="0.25">
      <c r="A19" s="1">
        <v>43646</v>
      </c>
      <c r="B19" s="2">
        <v>128667</v>
      </c>
    </row>
    <row r="20" spans="1:2" x14ac:dyDescent="0.25">
      <c r="A20" s="1">
        <v>43677</v>
      </c>
      <c r="B20" s="2">
        <v>144670</v>
      </c>
    </row>
    <row r="21" spans="1:2" x14ac:dyDescent="0.25">
      <c r="A21" s="1">
        <v>43708</v>
      </c>
      <c r="B21" s="2">
        <v>138214</v>
      </c>
    </row>
    <row r="22" spans="1:2" x14ac:dyDescent="0.25">
      <c r="A22" s="1">
        <v>43738</v>
      </c>
      <c r="B22" s="2">
        <v>147609</v>
      </c>
    </row>
    <row r="23" spans="1:2" x14ac:dyDescent="0.25">
      <c r="A23" s="1">
        <v>43769</v>
      </c>
      <c r="B23" s="2">
        <v>159403</v>
      </c>
    </row>
    <row r="24" spans="1:2" x14ac:dyDescent="0.25">
      <c r="A24" s="1">
        <v>43799</v>
      </c>
      <c r="B24" s="2">
        <v>189083</v>
      </c>
    </row>
    <row r="25" spans="1:2" x14ac:dyDescent="0.25">
      <c r="A25" s="1">
        <v>43830</v>
      </c>
      <c r="B25" s="2">
        <v>215115</v>
      </c>
    </row>
    <row r="26" spans="1:2" x14ac:dyDescent="0.25">
      <c r="A26" s="1">
        <v>43861</v>
      </c>
      <c r="B26" s="2">
        <v>107381</v>
      </c>
    </row>
    <row r="27" spans="1:2" x14ac:dyDescent="0.25">
      <c r="A27" s="1">
        <v>43890</v>
      </c>
      <c r="B27" s="2">
        <v>111581</v>
      </c>
    </row>
    <row r="28" spans="1:2" x14ac:dyDescent="0.25">
      <c r="A28" s="1">
        <v>43921</v>
      </c>
      <c r="B28" s="2">
        <v>124997</v>
      </c>
    </row>
    <row r="29" spans="1:2" x14ac:dyDescent="0.25">
      <c r="A29" s="1">
        <v>43951</v>
      </c>
      <c r="B29" s="2">
        <v>138012</v>
      </c>
    </row>
    <row r="30" spans="1:2" x14ac:dyDescent="0.25">
      <c r="A30" s="1">
        <v>43982</v>
      </c>
      <c r="B30" s="2">
        <v>144520</v>
      </c>
    </row>
    <row r="31" spans="1:2" x14ac:dyDescent="0.25">
      <c r="A31" s="1">
        <v>44012</v>
      </c>
      <c r="B31" s="2">
        <v>156022</v>
      </c>
    </row>
    <row r="32" spans="1:2" x14ac:dyDescent="0.25">
      <c r="A32" s="1">
        <v>44043</v>
      </c>
      <c r="B32" s="2">
        <v>166299</v>
      </c>
    </row>
    <row r="33" spans="1:2" x14ac:dyDescent="0.25">
      <c r="A33" s="1">
        <v>44074</v>
      </c>
      <c r="B33" s="2">
        <v>161314</v>
      </c>
    </row>
    <row r="34" spans="1:2" x14ac:dyDescent="0.25">
      <c r="A34" s="1">
        <v>44104</v>
      </c>
      <c r="B34" s="2">
        <v>161973</v>
      </c>
    </row>
    <row r="35" spans="1:2" x14ac:dyDescent="0.25">
      <c r="A35" s="1">
        <v>44135</v>
      </c>
      <c r="B35" s="2">
        <v>176488</v>
      </c>
    </row>
    <row r="36" spans="1:2" x14ac:dyDescent="0.25">
      <c r="A36" s="1">
        <v>44165</v>
      </c>
      <c r="B36" s="2">
        <v>217754</v>
      </c>
    </row>
    <row r="37" spans="1:2" x14ac:dyDescent="0.25">
      <c r="A37" s="1">
        <v>44196</v>
      </c>
      <c r="B37" s="2">
        <v>239478</v>
      </c>
    </row>
    <row r="38" spans="1:2" x14ac:dyDescent="0.25">
      <c r="A38" s="1">
        <v>44227</v>
      </c>
      <c r="B38" s="2">
        <v>126492</v>
      </c>
    </row>
    <row r="39" spans="1:2" x14ac:dyDescent="0.25">
      <c r="A39" s="1">
        <v>44255</v>
      </c>
      <c r="B39" s="2">
        <v>127238</v>
      </c>
    </row>
    <row r="40" spans="1:2" x14ac:dyDescent="0.25">
      <c r="A40" s="1">
        <v>44286</v>
      </c>
      <c r="B40" s="2">
        <v>148107</v>
      </c>
    </row>
    <row r="41" spans="1:2" x14ac:dyDescent="0.25">
      <c r="A41" s="1">
        <v>44316</v>
      </c>
      <c r="B41" s="2">
        <v>143181</v>
      </c>
    </row>
    <row r="42" spans="1:2" x14ac:dyDescent="0.25">
      <c r="A42" s="1">
        <v>44347</v>
      </c>
      <c r="B42" s="2">
        <v>162951</v>
      </c>
    </row>
    <row r="43" spans="1:2" x14ac:dyDescent="0.25">
      <c r="A43" s="1">
        <v>44377</v>
      </c>
      <c r="B43" s="2">
        <v>164038</v>
      </c>
    </row>
    <row r="44" spans="1:2" x14ac:dyDescent="0.25">
      <c r="A44" s="1">
        <v>44408</v>
      </c>
      <c r="B44" s="2">
        <v>181593</v>
      </c>
    </row>
    <row r="45" spans="1:2" x14ac:dyDescent="0.25">
      <c r="A45" s="1">
        <v>44439</v>
      </c>
      <c r="B45" s="2">
        <v>164841</v>
      </c>
    </row>
    <row r="46" spans="1:2" x14ac:dyDescent="0.25">
      <c r="A46" s="1">
        <v>44469</v>
      </c>
      <c r="B46" s="2">
        <v>193137</v>
      </c>
    </row>
    <row r="47" spans="1:2" x14ac:dyDescent="0.25">
      <c r="A47" s="1">
        <v>44500</v>
      </c>
      <c r="B47" s="2">
        <v>193334</v>
      </c>
    </row>
    <row r="48" spans="1:2" x14ac:dyDescent="0.25">
      <c r="A48" s="1">
        <v>44530</v>
      </c>
      <c r="B48" s="2">
        <v>230019</v>
      </c>
    </row>
    <row r="49" spans="1:2" x14ac:dyDescent="0.25">
      <c r="A49" s="1">
        <v>44561</v>
      </c>
      <c r="B49" s="2">
        <v>283338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FEE0-8CF9-4C48-8056-725218BFD5DA}">
  <sheetPr>
    <tabColor rgb="FFFF0000"/>
  </sheetPr>
  <dimension ref="A3:B8"/>
  <sheetViews>
    <sheetView workbookViewId="0">
      <selection activeCell="A7" sqref="A7"/>
    </sheetView>
  </sheetViews>
  <sheetFormatPr defaultRowHeight="15" x14ac:dyDescent="0.25"/>
  <cols>
    <col min="1" max="1" width="13.140625" bestFit="1" customWidth="1"/>
    <col min="2" max="2" width="21.140625" bestFit="1" customWidth="1"/>
  </cols>
  <sheetData>
    <row r="3" spans="1:2" x14ac:dyDescent="0.25">
      <c r="A3" s="3" t="s">
        <v>2</v>
      </c>
      <c r="B3" t="s">
        <v>8</v>
      </c>
    </row>
    <row r="4" spans="1:2" x14ac:dyDescent="0.25">
      <c r="A4" s="4" t="s">
        <v>4</v>
      </c>
      <c r="B4" s="5">
        <v>1430042</v>
      </c>
    </row>
    <row r="5" spans="1:2" x14ac:dyDescent="0.25">
      <c r="A5" s="4" t="s">
        <v>5</v>
      </c>
      <c r="B5" s="5">
        <v>1656757</v>
      </c>
    </row>
    <row r="6" spans="1:2" x14ac:dyDescent="0.25">
      <c r="A6" s="4" t="s">
        <v>6</v>
      </c>
      <c r="B6" s="5">
        <v>1905819</v>
      </c>
    </row>
    <row r="7" spans="1:2" x14ac:dyDescent="0.25">
      <c r="A7" s="4" t="s">
        <v>7</v>
      </c>
      <c r="B7" s="5">
        <v>2118269</v>
      </c>
    </row>
    <row r="8" spans="1:2" x14ac:dyDescent="0.25">
      <c r="A8" s="4" t="s">
        <v>3</v>
      </c>
      <c r="B8" s="5">
        <v>7110887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673B-0B1A-4C18-8B08-5BB4842FF0BC}">
  <sheetPr>
    <tabColor rgb="FF00B050"/>
  </sheetPr>
  <dimension ref="A1:I7"/>
  <sheetViews>
    <sheetView workbookViewId="0">
      <selection activeCell="X10" sqref="X10"/>
    </sheetView>
  </sheetViews>
  <sheetFormatPr defaultRowHeight="15" x14ac:dyDescent="0.25"/>
  <cols>
    <col min="1" max="1" width="22.42578125" bestFit="1" customWidth="1"/>
    <col min="2" max="2" width="8.42578125" bestFit="1" customWidth="1"/>
    <col min="4" max="4" width="15.7109375" bestFit="1" customWidth="1"/>
    <col min="5" max="5" width="12.28515625" bestFit="1" customWidth="1"/>
    <col min="6" max="6" width="14.5703125" customWidth="1"/>
    <col min="7" max="7" width="12.28515625" bestFit="1" customWidth="1"/>
    <col min="8" max="8" width="22.42578125" bestFit="1" customWidth="1"/>
    <col min="9" max="9" width="12.28515625" bestFit="1" customWidth="1"/>
  </cols>
  <sheetData>
    <row r="1" spans="1:9" x14ac:dyDescent="0.25">
      <c r="A1" t="s">
        <v>13</v>
      </c>
      <c r="B1" t="s">
        <v>14</v>
      </c>
    </row>
    <row r="2" spans="1:9" x14ac:dyDescent="0.25">
      <c r="A2" s="6" t="s">
        <v>15</v>
      </c>
      <c r="B2">
        <v>250</v>
      </c>
      <c r="D2" s="25" t="s">
        <v>33</v>
      </c>
      <c r="E2" s="26">
        <v>250</v>
      </c>
      <c r="H2" s="9" t="s">
        <v>19</v>
      </c>
      <c r="I2" s="9"/>
    </row>
    <row r="3" spans="1:9" x14ac:dyDescent="0.25">
      <c r="A3" s="6" t="s">
        <v>16</v>
      </c>
      <c r="B3">
        <v>120</v>
      </c>
      <c r="D3" s="25" t="s">
        <v>34</v>
      </c>
      <c r="E3" s="25">
        <v>120</v>
      </c>
      <c r="H3" s="7" t="s">
        <v>15</v>
      </c>
      <c r="I3" s="22">
        <f>E2</f>
        <v>250</v>
      </c>
    </row>
    <row r="4" spans="1:9" x14ac:dyDescent="0.25">
      <c r="A4" s="6" t="s">
        <v>17</v>
      </c>
      <c r="B4">
        <v>1500</v>
      </c>
      <c r="D4" s="25" t="s">
        <v>35</v>
      </c>
      <c r="E4" s="26">
        <v>85000</v>
      </c>
      <c r="H4" s="8" t="s">
        <v>16</v>
      </c>
      <c r="I4" s="23">
        <v>120</v>
      </c>
    </row>
    <row r="5" spans="1:9" x14ac:dyDescent="0.25">
      <c r="A5" s="6" t="s">
        <v>18</v>
      </c>
      <c r="B5">
        <v>85000</v>
      </c>
      <c r="H5" s="7" t="s">
        <v>17</v>
      </c>
      <c r="I5" s="24">
        <f>E3</f>
        <v>120</v>
      </c>
    </row>
    <row r="6" spans="1:9" x14ac:dyDescent="0.25">
      <c r="H6" s="8" t="s">
        <v>18</v>
      </c>
      <c r="I6" s="23">
        <f>E4</f>
        <v>85000</v>
      </c>
    </row>
    <row r="7" spans="1:9" x14ac:dyDescent="0.25">
      <c r="H7" t="s">
        <v>20</v>
      </c>
      <c r="I7" s="2">
        <f>-Fixed_Costs+Volume_Sold*(Unit_Price-Variable_Cost_per_Unit)</f>
        <v>-69400</v>
      </c>
    </row>
  </sheetData>
  <sheetProtection sheet="1" objects="1" scenarios="1"/>
  <scenarios current="0" sqref="G9">
    <scenario name="Pesymistic" locked="1" count="4" user="Kacper Cichy" comment="Created by Kacper Cichy on 29.07.2026_x000a_Modified by Kacper Cichy on 29.07.2026">
      <inputCells r="I3" val="220"/>
      <inputCells r="I4" val="100"/>
      <inputCells r="I5" val="1600"/>
      <inputCells r="I6" val="85000"/>
    </scenario>
    <scenario name="Basic" locked="1" count="4" user="Kacper Cichy" comment="Created by Kacper Cichy on 29.07.2026">
      <inputCells r="I3" val="250"/>
      <inputCells r="I4" val="120"/>
      <inputCells r="I5" val="1807.69230769231"/>
      <inputCells r="I6" val="85000"/>
    </scenario>
    <scenario name="Optymistic" locked="1" count="4" user="Kacper Cichy" comment="Created by Kacper Cichy on 29.07.2026">
      <inputCells r="I3" val="280"/>
      <inputCells r="I4" val="150"/>
      <inputCells r="I5" val="2000"/>
      <inputCells r="I6" val="85000"/>
    </scenario>
  </scenarios>
  <mergeCells count="1">
    <mergeCell ref="H2:I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6E75-339D-4BF0-89F5-86170AB1A15D}">
  <sheetPr>
    <tabColor rgb="FF00B050"/>
    <outlinePr summaryBelow="0"/>
  </sheetPr>
  <dimension ref="B1:G14"/>
  <sheetViews>
    <sheetView showGridLines="0" tabSelected="1" workbookViewId="0">
      <selection activeCell="M14" sqref="M14"/>
    </sheetView>
  </sheetViews>
  <sheetFormatPr defaultRowHeight="15" outlineLevelRow="1" outlineLevelCol="1" x14ac:dyDescent="0.25"/>
  <cols>
    <col min="3" max="3" width="22.5703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13" t="s">
        <v>22</v>
      </c>
      <c r="C2" s="13"/>
      <c r="D2" s="18"/>
      <c r="E2" s="18"/>
      <c r="F2" s="18"/>
      <c r="G2" s="18"/>
    </row>
    <row r="3" spans="2:7" ht="15.75" collapsed="1" x14ac:dyDescent="0.25">
      <c r="B3" s="12"/>
      <c r="C3" s="12"/>
      <c r="D3" s="19" t="s">
        <v>24</v>
      </c>
      <c r="E3" s="19" t="s">
        <v>29</v>
      </c>
      <c r="F3" s="19" t="s">
        <v>31</v>
      </c>
      <c r="G3" s="19" t="s">
        <v>32</v>
      </c>
    </row>
    <row r="4" spans="2:7" ht="67.5" hidden="1" outlineLevel="1" x14ac:dyDescent="0.25">
      <c r="B4" s="15"/>
      <c r="C4" s="15"/>
      <c r="D4" s="10"/>
      <c r="E4" s="21" t="s">
        <v>30</v>
      </c>
      <c r="F4" s="21" t="s">
        <v>21</v>
      </c>
      <c r="G4" s="21" t="s">
        <v>21</v>
      </c>
    </row>
    <row r="5" spans="2:7" x14ac:dyDescent="0.25">
      <c r="B5" s="16" t="s">
        <v>23</v>
      </c>
      <c r="C5" s="16"/>
      <c r="D5" s="14"/>
      <c r="E5" s="14"/>
      <c r="F5" s="14"/>
      <c r="G5" s="14"/>
    </row>
    <row r="6" spans="2:7" outlineLevel="1" x14ac:dyDescent="0.25">
      <c r="B6" s="15"/>
      <c r="C6" s="15" t="s">
        <v>15</v>
      </c>
      <c r="D6" s="10">
        <v>250</v>
      </c>
      <c r="E6" s="20">
        <v>220</v>
      </c>
      <c r="F6" s="20">
        <v>250</v>
      </c>
      <c r="G6" s="20">
        <v>280</v>
      </c>
    </row>
    <row r="7" spans="2:7" outlineLevel="1" x14ac:dyDescent="0.25">
      <c r="B7" s="15"/>
      <c r="C7" s="15" t="s">
        <v>16</v>
      </c>
      <c r="D7" s="10">
        <v>120</v>
      </c>
      <c r="E7" s="20">
        <v>100</v>
      </c>
      <c r="F7" s="20">
        <v>120</v>
      </c>
      <c r="G7" s="20">
        <v>150</v>
      </c>
    </row>
    <row r="8" spans="2:7" outlineLevel="1" x14ac:dyDescent="0.25">
      <c r="B8" s="15"/>
      <c r="C8" s="15" t="s">
        <v>17</v>
      </c>
      <c r="D8" s="10">
        <v>1807.6923076923099</v>
      </c>
      <c r="E8" s="20">
        <v>1600</v>
      </c>
      <c r="F8" s="20">
        <v>1807.6923076923099</v>
      </c>
      <c r="G8" s="20">
        <v>2000</v>
      </c>
    </row>
    <row r="9" spans="2:7" outlineLevel="1" x14ac:dyDescent="0.25">
      <c r="B9" s="15"/>
      <c r="C9" s="15" t="s">
        <v>18</v>
      </c>
      <c r="D9" s="10">
        <v>85000</v>
      </c>
      <c r="E9" s="20">
        <v>85000</v>
      </c>
      <c r="F9" s="20">
        <v>85000</v>
      </c>
      <c r="G9" s="20">
        <v>85000</v>
      </c>
    </row>
    <row r="10" spans="2:7" x14ac:dyDescent="0.25">
      <c r="B10" s="16" t="s">
        <v>25</v>
      </c>
      <c r="C10" s="16"/>
      <c r="D10" s="14"/>
      <c r="E10" s="14"/>
      <c r="F10" s="14"/>
      <c r="G10" s="14"/>
    </row>
    <row r="11" spans="2:7" ht="15.75" outlineLevel="1" thickBot="1" x14ac:dyDescent="0.3">
      <c r="B11" s="17"/>
      <c r="C11" s="17" t="s">
        <v>20</v>
      </c>
      <c r="D11" s="11">
        <v>150000</v>
      </c>
      <c r="E11" s="11">
        <v>107000</v>
      </c>
      <c r="F11" s="11">
        <v>150000</v>
      </c>
      <c r="G11" s="11">
        <v>175000</v>
      </c>
    </row>
    <row r="12" spans="2:7" x14ac:dyDescent="0.25">
      <c r="B12" t="s">
        <v>26</v>
      </c>
    </row>
    <row r="13" spans="2:7" x14ac:dyDescent="0.25">
      <c r="B13" t="s">
        <v>27</v>
      </c>
    </row>
    <row r="14" spans="2:7" x14ac:dyDescent="0.25">
      <c r="B14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990922-3A9F-48C8-8216-5B666EE45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Forecast_Sheet_Data</vt:lpstr>
      <vt:lpstr>Hisotrical_Data</vt:lpstr>
      <vt:lpstr>PVT_Historical_Data</vt:lpstr>
      <vt:lpstr>Data_For_WhatIf</vt:lpstr>
      <vt:lpstr>Scenario Summary</vt:lpstr>
      <vt:lpstr>Fixed_Costs</vt:lpstr>
      <vt:lpstr>Profit</vt:lpstr>
      <vt:lpstr>Unit_Price</vt:lpstr>
      <vt:lpstr>Variable_Cost_per_Unit</vt:lpstr>
      <vt:lpstr>Volume_Sold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Cichy</dc:creator>
  <cp:lastModifiedBy>Kacper Cichy</cp:lastModifiedBy>
  <dcterms:created xsi:type="dcterms:W3CDTF">2026-07-29T08:45:08Z</dcterms:created>
  <dcterms:modified xsi:type="dcterms:W3CDTF">2026-07-29T09:07:59Z</dcterms:modified>
</cp:coreProperties>
</file>