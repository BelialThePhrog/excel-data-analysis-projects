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pe\OneDrive\Desktop\EXCEL\"/>
    </mc:Choice>
  </mc:AlternateContent>
  <xr:revisionPtr revIDLastSave="0" documentId="13_ncr:1_{83AEAE99-7813-4D9C-AC51-D7244A556298}" xr6:coauthVersionLast="47" xr6:coauthVersionMax="47" xr10:uidLastSave="{00000000-0000-0000-0000-000000000000}"/>
  <bookViews>
    <workbookView xWindow="-28920" yWindow="3015" windowWidth="29040" windowHeight="15720" activeTab="1" xr2:uid="{309E40EE-BAFB-4363-865D-3E11762F0ED0}"/>
  </bookViews>
  <sheets>
    <sheet name="Raw Data" sheetId="1" r:id="rId1"/>
    <sheet name="Raw_Transactions" sheetId="2" r:id="rId2"/>
  </sheets>
  <definedNames>
    <definedName name="Buyers">Raw_Transactions!$K$1:$O$33</definedName>
    <definedName name="Raw_Data">'Raw Data'!$A$1:$D$6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2" l="1"/>
  <c r="Q13" i="2" s="1"/>
  <c r="P2" i="2"/>
  <c r="Q2" i="2" s="1"/>
  <c r="P24" i="2"/>
  <c r="Q24" i="2" s="1"/>
  <c r="P25" i="2"/>
  <c r="Q25" i="2" s="1"/>
  <c r="P14" i="2"/>
  <c r="Q14" i="2" s="1"/>
  <c r="P26" i="2"/>
  <c r="Q26" i="2" s="1"/>
  <c r="P27" i="2"/>
  <c r="Q27" i="2" s="1"/>
  <c r="P28" i="2"/>
  <c r="Q28" i="2" s="1"/>
  <c r="P3" i="2"/>
  <c r="Q3" i="2" s="1"/>
  <c r="P4" i="2"/>
  <c r="Q4" i="2" s="1"/>
  <c r="P29" i="2"/>
  <c r="Q29" i="2" s="1"/>
  <c r="P15" i="2"/>
  <c r="Q15" i="2" s="1"/>
  <c r="P16" i="2"/>
  <c r="Q16" i="2" s="1"/>
  <c r="P5" i="2"/>
  <c r="Q5" i="2" s="1"/>
  <c r="P17" i="2"/>
  <c r="Q17" i="2" s="1"/>
  <c r="P18" i="2"/>
  <c r="Q18" i="2" s="1"/>
  <c r="P19" i="2"/>
  <c r="Q19" i="2" s="1"/>
  <c r="P30" i="2"/>
  <c r="Q30" i="2" s="1"/>
  <c r="P31" i="2"/>
  <c r="Q31" i="2" s="1"/>
  <c r="P20" i="2"/>
  <c r="Q20" i="2" s="1"/>
  <c r="P6" i="2"/>
  <c r="Q6" i="2" s="1"/>
  <c r="P7" i="2"/>
  <c r="Q7" i="2" s="1"/>
  <c r="P32" i="2"/>
  <c r="Q32" i="2" s="1"/>
  <c r="P8" i="2"/>
  <c r="Q8" i="2" s="1"/>
  <c r="P9" i="2"/>
  <c r="Q9" i="2" s="1"/>
  <c r="P10" i="2"/>
  <c r="Q10" i="2" s="1"/>
  <c r="P21" i="2"/>
  <c r="Q21" i="2" s="1"/>
  <c r="P22" i="2"/>
  <c r="Q22" i="2" s="1"/>
  <c r="P11" i="2"/>
  <c r="Q11" i="2" s="1"/>
  <c r="P33" i="2"/>
  <c r="Q33" i="2" s="1"/>
  <c r="T4" i="2"/>
  <c r="T3" i="2"/>
  <c r="P12" i="2" l="1"/>
  <c r="P23" i="2"/>
  <c r="P34" i="2"/>
  <c r="P35" i="2"/>
</calcChain>
</file>

<file path=xl/sharedStrings.xml><?xml version="1.0" encoding="utf-8"?>
<sst xmlns="http://schemas.openxmlformats.org/spreadsheetml/2006/main" count="284" uniqueCount="130">
  <si>
    <t>Product_ID</t>
  </si>
  <si>
    <t>Product_Name</t>
  </si>
  <si>
    <t>Unit_Price</t>
  </si>
  <si>
    <t>Category</t>
  </si>
  <si>
    <t>PRD-101</t>
  </si>
  <si>
    <t>Software</t>
  </si>
  <si>
    <t>PRD-102</t>
  </si>
  <si>
    <t>PRD-201</t>
  </si>
  <si>
    <t>Service</t>
  </si>
  <si>
    <t>PRD-202</t>
  </si>
  <si>
    <t>PRD-301</t>
  </si>
  <si>
    <t>Training</t>
  </si>
  <si>
    <t>software license  a</t>
  </si>
  <si>
    <t>software license b</t>
  </si>
  <si>
    <t>analytics consulting</t>
  </si>
  <si>
    <t>security audit</t>
  </si>
  <si>
    <t>basic training</t>
  </si>
  <si>
    <t>Transaction_Code</t>
  </si>
  <si>
    <t>Date</t>
  </si>
  <si>
    <t>Rep_Name</t>
  </si>
  <si>
    <t>Quantity</t>
  </si>
  <si>
    <t>Discount_Rate</t>
  </si>
  <si>
    <t>TX-EU-001</t>
  </si>
  <si>
    <t xml:space="preserve">   john smith  </t>
  </si>
  <si>
    <t>TX-AS-002</t>
  </si>
  <si>
    <t>anna JOHNSON</t>
  </si>
  <si>
    <t>TX-NA-003</t>
  </si>
  <si>
    <t xml:space="preserve">  peter brown</t>
  </si>
  <si>
    <t>TX-EU-004</t>
  </si>
  <si>
    <t xml:space="preserve">mary WILLIAMS  </t>
  </si>
  <si>
    <t>TX-AS-005</t>
  </si>
  <si>
    <t xml:space="preserve"> john smith</t>
  </si>
  <si>
    <t>TX-NA-006</t>
  </si>
  <si>
    <t>TX-EU-007</t>
  </si>
  <si>
    <t xml:space="preserve"> peter brown </t>
  </si>
  <si>
    <t>TX-AS-008</t>
  </si>
  <si>
    <t xml:space="preserve">  eve davis</t>
  </si>
  <si>
    <t>TX-NA-009</t>
  </si>
  <si>
    <t xml:space="preserve">thomas JONES  </t>
  </si>
  <si>
    <t>TX-EU-010</t>
  </si>
  <si>
    <t xml:space="preserve"> mary WILLIAMS</t>
  </si>
  <si>
    <t>TX-AS-011</t>
  </si>
  <si>
    <t>john smith</t>
  </si>
  <si>
    <t>TX-NA-012</t>
  </si>
  <si>
    <t xml:space="preserve"> anna JOHNSON  </t>
  </si>
  <si>
    <t>TX-EU-013</t>
  </si>
  <si>
    <t>peter brown</t>
  </si>
  <si>
    <t>TX-AS-014</t>
  </si>
  <si>
    <t xml:space="preserve">   thomas JONES</t>
  </si>
  <si>
    <t>TX-NA-015</t>
  </si>
  <si>
    <t xml:space="preserve">eve davis  </t>
  </si>
  <si>
    <t>TX-EU-016</t>
  </si>
  <si>
    <t xml:space="preserve"> mary WILLIAMS </t>
  </si>
  <si>
    <t>TX-AS-017</t>
  </si>
  <si>
    <t xml:space="preserve">john smith  </t>
  </si>
  <si>
    <t>TX-NA-018</t>
  </si>
  <si>
    <t xml:space="preserve">   anna JOHNSON</t>
  </si>
  <si>
    <t>TX-EU-019</t>
  </si>
  <si>
    <t xml:space="preserve">peter brown  </t>
  </si>
  <si>
    <t>TX-AS-020</t>
  </si>
  <si>
    <t xml:space="preserve"> thomas JONES </t>
  </si>
  <si>
    <t>TX-NA-021</t>
  </si>
  <si>
    <t>eve davis</t>
  </si>
  <si>
    <t>TX-EU-022</t>
  </si>
  <si>
    <t>mary WILLIAMS</t>
  </si>
  <si>
    <t>TX-AS-023</t>
  </si>
  <si>
    <t xml:space="preserve">  john smith</t>
  </si>
  <si>
    <t>TX-NA-024</t>
  </si>
  <si>
    <t xml:space="preserve">anna JOHNSON  </t>
  </si>
  <si>
    <t>TX-EU-025</t>
  </si>
  <si>
    <t xml:space="preserve"> peter brown</t>
  </si>
  <si>
    <t>TX-AS-026</t>
  </si>
  <si>
    <t>thomas JONES</t>
  </si>
  <si>
    <t>TX-NA-027</t>
  </si>
  <si>
    <t xml:space="preserve">  eve davis  </t>
  </si>
  <si>
    <t>TX-EU-028</t>
  </si>
  <si>
    <t>TX-AS-029</t>
  </si>
  <si>
    <t>TX-NA-030</t>
  </si>
  <si>
    <t xml:space="preserve"> anna JOHNSON</t>
  </si>
  <si>
    <t>Region</t>
  </si>
  <si>
    <t>Code</t>
  </si>
  <si>
    <t>Product:</t>
  </si>
  <si>
    <t>Price:</t>
  </si>
  <si>
    <t>Category:</t>
  </si>
  <si>
    <t>Total_Cost</t>
  </si>
  <si>
    <t>Discount_for_next_Purchase</t>
  </si>
  <si>
    <t>Discount Treshhold</t>
  </si>
  <si>
    <t>EU</t>
  </si>
  <si>
    <t>AS</t>
  </si>
  <si>
    <t>NA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</si>
  <si>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</si>
  <si>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</si>
  <si>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</si>
  <si>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</si>
  <si>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</si>
  <si>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</si>
  <si>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</si>
  <si>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</si>
  <si>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</si>
  <si>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</si>
  <si>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</si>
  <si>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</si>
  <si>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</si>
  <si>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</si>
  <si>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</si>
  <si>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</si>
  <si>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</si>
  <si>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</si>
  <si>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</si>
  <si>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</si>
  <si>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</si>
  <si>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</si>
  <si>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</si>
  <si>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</si>
  <si>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</si>
  <si>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</si>
  <si>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</si>
  <si>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</si>
  <si>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</si>
  <si>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</si>
  <si>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John Smith</t>
  </si>
  <si>
    <t>Anna Johnson</t>
  </si>
  <si>
    <t>Peter Brown</t>
  </si>
  <si>
    <t>Mary Williams</t>
  </si>
  <si>
    <t>Eve Davis</t>
  </si>
  <si>
    <t>Thomas Jones</t>
  </si>
  <si>
    <t>Grand Total</t>
  </si>
  <si>
    <t>AS Total</t>
  </si>
  <si>
    <t>EU Total</t>
  </si>
  <si>
    <t>NA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</si>
</sst>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/>
    <xf numFmtId="44" fontId="0" fillId="0" borderId="1" xfId="0" applyNumberFormat="1" applyBorder="1"/>
    <xf numFmtId="44" fontId="0" fillId="0" borderId="8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4" borderId="14" xfId="0" applyFont="1" applyFill="1" applyBorder="1" applyAlignment="1">
      <alignment horizontal="center" vertical="center"/>
    </xf>
    <xf numFmtId="14" fontId="0" fillId="4" borderId="14" xfId="0" applyNumberFormat="1" applyFont="1" applyFill="1" applyBorder="1" applyAlignment="1">
      <alignment horizontal="center" vertical="center"/>
    </xf>
    <xf numFmtId="9" fontId="0" fillId="4" borderId="14" xfId="1" applyNumberFormat="1" applyFont="1" applyFill="1" applyBorder="1" applyAlignment="1">
      <alignment horizontal="center" vertical="center"/>
    </xf>
    <xf numFmtId="44" fontId="0" fillId="4" borderId="14" xfId="0" applyNumberFormat="1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9" fontId="0" fillId="0" borderId="12" xfId="1" applyNumberFormat="1" applyFont="1" applyBorder="1" applyAlignment="1">
      <alignment horizontal="center" vertical="center"/>
    </xf>
    <xf numFmtId="44" fontId="0" fillId="0" borderId="12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14" fontId="0" fillId="4" borderId="12" xfId="0" applyNumberFormat="1" applyFont="1" applyFill="1" applyBorder="1" applyAlignment="1">
      <alignment horizontal="center" vertical="center"/>
    </xf>
    <xf numFmtId="9" fontId="0" fillId="4" borderId="12" xfId="1" applyNumberFormat="1" applyFont="1" applyFill="1" applyBorder="1" applyAlignment="1">
      <alignment horizontal="center" vertical="center"/>
    </xf>
    <xf numFmtId="44" fontId="0" fillId="4" borderId="12" xfId="0" applyNumberFormat="1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9" fontId="0" fillId="0" borderId="10" xfId="1" applyNumberFormat="1" applyFont="1" applyBorder="1" applyAlignment="1">
      <alignment horizontal="center" vertical="center"/>
    </xf>
    <xf numFmtId="44" fontId="0" fillId="0" borderId="10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9" fontId="0" fillId="0" borderId="0" xfId="1" applyNumberFormat="1" applyFont="1" applyBorder="1" applyAlignment="1">
      <alignment horizontal="center" vertical="center"/>
    </xf>
    <xf numFmtId="44" fontId="0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14" fontId="0" fillId="5" borderId="0" xfId="0" applyNumberFormat="1" applyFont="1" applyFill="1" applyBorder="1" applyAlignment="1">
      <alignment horizontal="center" vertical="center"/>
    </xf>
    <xf numFmtId="9" fontId="0" fillId="5" borderId="0" xfId="1" applyNumberFormat="1" applyFont="1" applyFill="1" applyBorder="1" applyAlignment="1">
      <alignment horizontal="center" vertical="center"/>
    </xf>
    <xf numFmtId="44" fontId="0" fillId="5" borderId="0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FDD12C-30BF-4D25-BF9C-EB13880CCB08}" name="Table2" displayName="Table2" ref="H1:Q35" totalsRowShown="0" headerRowDxfId="0" tableBorderDxfId="1">
  <autoFilter ref="H1:Q35" xr:uid="{ABFDD12C-30BF-4D25-BF9C-EB13880CCB08}"/>
  <tableColumns count="10">
    <tableColumn id="1" xr3:uid="{174B3944-ECD6-47C0-A9D8-408485E001D3}" name="Transaction_Code"/>
    <tableColumn id="2" xr3:uid="{DF593AF6-61AB-41B9-BF53-8E9B98B294ED}" name="Region"/>
    <tableColumn id="3" xr3:uid="{FC9CA5CF-5048-4CE0-80CF-ABF34A4E96A2}" name="Code"/>
    <tableColumn id="4" xr3:uid="{544E4EF5-17C8-4E5A-B16A-FAA26B7D9B2D}" name="Date"/>
    <tableColumn id="5" xr3:uid="{91448C9B-BA8E-42DE-BCA3-D0B47185B546}" name="Rep_Name"/>
    <tableColumn id="6" xr3:uid="{1413F0F5-4F65-450D-9FB8-A9B4DFBA954C}" name="Product_ID"/>
    <tableColumn id="7" xr3:uid="{3EF299CC-F625-4452-AC8A-AA9C92F12AF7}" name="Quantity"/>
    <tableColumn id="8" xr3:uid="{EFA7DCBC-5329-48C0-BBD8-FF26FC24D374}" name="Discount_Rate"/>
    <tableColumn id="9" xr3:uid="{0163576C-CA79-4A8E-AF94-0A90204701AC}" name="Total_Cost"/>
    <tableColumn id="10" xr3:uid="{B615C223-9641-4A47-80BA-A610C8B095BB}" name="Discount_for_next_Purc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49DB-1C22-441A-A255-BFFB001B7F53}">
  <dimension ref="A1:D6"/>
  <sheetViews>
    <sheetView workbookViewId="0">
      <selection sqref="A1:A6"/>
    </sheetView>
  </sheetViews>
  <sheetFormatPr defaultRowHeight="15" x14ac:dyDescent="0.25"/>
  <cols>
    <col min="1" max="1" width="10.7109375" bestFit="1" customWidth="1"/>
    <col min="2" max="2" width="25.140625" bestFit="1" customWidth="1"/>
    <col min="3" max="3" width="11.28515625" bestFit="1" customWidth="1"/>
    <col min="4" max="4" width="9" bestFit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5" t="s">
        <v>4</v>
      </c>
      <c r="B2" s="1" t="s">
        <v>12</v>
      </c>
      <c r="C2" s="11">
        <v>150</v>
      </c>
      <c r="D2" s="6" t="s">
        <v>5</v>
      </c>
    </row>
    <row r="3" spans="1:4" x14ac:dyDescent="0.25">
      <c r="A3" s="5" t="s">
        <v>6</v>
      </c>
      <c r="B3" s="1" t="s">
        <v>13</v>
      </c>
      <c r="C3" s="11">
        <v>250</v>
      </c>
      <c r="D3" s="6" t="s">
        <v>5</v>
      </c>
    </row>
    <row r="4" spans="1:4" x14ac:dyDescent="0.25">
      <c r="A4" s="5" t="s">
        <v>7</v>
      </c>
      <c r="B4" s="1" t="s">
        <v>14</v>
      </c>
      <c r="C4" s="11">
        <v>800</v>
      </c>
      <c r="D4" s="6" t="s">
        <v>8</v>
      </c>
    </row>
    <row r="5" spans="1:4" x14ac:dyDescent="0.25">
      <c r="A5" s="5" t="s">
        <v>9</v>
      </c>
      <c r="B5" s="1" t="s">
        <v>15</v>
      </c>
      <c r="C5" s="11">
        <v>1200</v>
      </c>
      <c r="D5" s="6" t="s">
        <v>8</v>
      </c>
    </row>
    <row r="6" spans="1:4" ht="15.75" thickBot="1" x14ac:dyDescent="0.3">
      <c r="A6" s="7" t="s">
        <v>10</v>
      </c>
      <c r="B6" s="8" t="s">
        <v>16</v>
      </c>
      <c r="C6" s="12">
        <v>400</v>
      </c>
      <c r="D6" s="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18A6-9BE8-4A14-AF4D-E6A4D0E4D46F}">
  <dimension ref="A1:T35"/>
  <sheetViews>
    <sheetView tabSelected="1" zoomScale="85" zoomScaleNormal="85" workbookViewId="0">
      <selection activeCell="Q38" sqref="Q38"/>
    </sheetView>
  </sheetViews>
  <sheetFormatPr defaultRowHeight="15" outlineLevelRow="2" x14ac:dyDescent="0.25"/>
  <cols>
    <col min="1" max="1" width="16.85546875" bestFit="1" customWidth="1"/>
    <col min="2" max="2" width="6.140625" customWidth="1"/>
    <col min="3" max="3" width="15.85546875" bestFit="1" customWidth="1"/>
    <col min="4" max="4" width="10.7109375" bestFit="1" customWidth="1"/>
    <col min="5" max="5" width="8.7109375" bestFit="1" customWidth="1"/>
    <col min="6" max="6" width="13.85546875" bestFit="1" customWidth="1"/>
    <col min="8" max="8" width="18.85546875" style="10" customWidth="1"/>
    <col min="9" max="9" width="17.7109375" customWidth="1"/>
    <col min="11" max="11" width="10.140625" bestFit="1" customWidth="1"/>
    <col min="12" max="12" width="13.7109375" bestFit="1" customWidth="1"/>
    <col min="13" max="13" width="12.85546875" customWidth="1"/>
    <col min="14" max="14" width="10.85546875" customWidth="1"/>
    <col min="15" max="15" width="15.85546875" customWidth="1"/>
    <col min="16" max="16" width="13.42578125" customWidth="1"/>
    <col min="17" max="17" width="26.85546875" customWidth="1"/>
    <col min="18" max="18" width="10.140625" customWidth="1"/>
    <col min="19" max="19" width="20" customWidth="1"/>
    <col min="20" max="20" width="18.85546875" customWidth="1"/>
    <col min="21" max="21" width="20.7109375" customWidth="1"/>
  </cols>
  <sheetData>
    <row r="1" spans="1:20" ht="30.75" thickBot="1" x14ac:dyDescent="0.3">
      <c r="A1" s="13" t="s">
        <v>17</v>
      </c>
      <c r="B1" s="13" t="s">
        <v>18</v>
      </c>
      <c r="C1" s="13" t="s">
        <v>19</v>
      </c>
      <c r="D1" s="13" t="s">
        <v>0</v>
      </c>
      <c r="E1" s="13" t="s">
        <v>20</v>
      </c>
      <c r="F1" s="13" t="s">
        <v>21</v>
      </c>
      <c r="G1" s="14"/>
      <c r="H1" s="47" t="s">
        <v>17</v>
      </c>
      <c r="I1" s="47" t="s">
        <v>79</v>
      </c>
      <c r="J1" s="47" t="s">
        <v>80</v>
      </c>
      <c r="K1" s="47" t="s">
        <v>18</v>
      </c>
      <c r="L1" s="47" t="s">
        <v>19</v>
      </c>
      <c r="M1" s="47" t="s">
        <v>0</v>
      </c>
      <c r="N1" s="47" t="s">
        <v>20</v>
      </c>
      <c r="O1" s="47" t="s">
        <v>21</v>
      </c>
      <c r="P1" s="47" t="s">
        <v>84</v>
      </c>
      <c r="Q1" s="48" t="s">
        <v>85</v>
      </c>
    </row>
    <row r="2" spans="1:20" ht="15.75" outlineLevel="2" thickTop="1" x14ac:dyDescent="0.25">
      <c r="A2" s="13" t="s">
        <v>22</v>
      </c>
      <c r="B2" s="13">
        <v>44197</v>
      </c>
      <c r="C2" s="13" t="s">
        <v>23</v>
      </c>
      <c r="D2" s="13" t="s">
        <v>4</v>
      </c>
      <c r="E2" s="13">
        <v>5</v>
      </c>
      <c r="F2" s="13">
        <v>0.05</v>
      </c>
      <c r="G2" s="14"/>
      <c r="H2" s="16" t="s">
        <v>24</v>
      </c>
      <c r="I2" s="16" t="s">
        <v>88</v>
      </c>
      <c r="J2" s="16" t="s">
        <v>100</v>
      </c>
      <c r="K2" s="17">
        <v>44201</v>
      </c>
      <c r="L2" s="16" t="s">
        <v>120</v>
      </c>
      <c r="M2" s="16" t="s">
        <v>7</v>
      </c>
      <c r="N2" s="16">
        <v>1</v>
      </c>
      <c r="O2" s="18">
        <v>0</v>
      </c>
      <c r="P2" s="19">
        <f>Raw_Transactions!$N2*VLOOKUP(Raw_Transactions!$M2,Raw_Data,3,0)*(1-Raw_Transactions!$O2)</f>
        <v>800</v>
      </c>
      <c r="Q2" s="20" t="str">
        <f>IF(Raw_Transactions!$P2&gt;$T$6,"Yes","No")</f>
        <v>No</v>
      </c>
      <c r="S2" s="1" t="s">
        <v>81</v>
      </c>
      <c r="T2" s="1" t="s">
        <v>4</v>
      </c>
    </row>
    <row r="3" spans="1:20" outlineLevel="2" x14ac:dyDescent="0.25">
      <c r="A3" s="13" t="s">
        <v>24</v>
      </c>
      <c r="B3" s="13">
        <v>44201</v>
      </c>
      <c r="C3" s="13" t="s">
        <v>25</v>
      </c>
      <c r="D3" s="13" t="s">
        <v>7</v>
      </c>
      <c r="E3" s="13">
        <v>1</v>
      </c>
      <c r="F3" s="13">
        <v>0</v>
      </c>
      <c r="G3" s="14"/>
      <c r="H3" s="21" t="s">
        <v>37</v>
      </c>
      <c r="I3" s="21" t="s">
        <v>88</v>
      </c>
      <c r="J3" s="21" t="s">
        <v>97</v>
      </c>
      <c r="K3" s="22">
        <v>44236</v>
      </c>
      <c r="L3" s="21" t="s">
        <v>124</v>
      </c>
      <c r="M3" s="21" t="s">
        <v>7</v>
      </c>
      <c r="N3" s="21">
        <v>4</v>
      </c>
      <c r="O3" s="23">
        <v>0</v>
      </c>
      <c r="P3" s="24">
        <f>Raw_Transactions!$N3*VLOOKUP(Raw_Transactions!$M3,Raw_Data,3,0)*(1-Raw_Transactions!$O3)</f>
        <v>3200</v>
      </c>
      <c r="Q3" s="25" t="str">
        <f>IF(Raw_Transactions!$P3&gt;$T$6,"Yes","No")</f>
        <v>Yes</v>
      </c>
      <c r="S3" s="1" t="s">
        <v>82</v>
      </c>
      <c r="T3" s="11">
        <f>_xlfn.IFNA(VLOOKUP(T2,Raw_Data,3,0), "No product found")</f>
        <v>150</v>
      </c>
    </row>
    <row r="4" spans="1:20" outlineLevel="2" x14ac:dyDescent="0.25">
      <c r="A4" s="13" t="s">
        <v>26</v>
      </c>
      <c r="B4" s="13">
        <v>44215</v>
      </c>
      <c r="C4" s="13" t="s">
        <v>27</v>
      </c>
      <c r="D4" s="13" t="s">
        <v>6</v>
      </c>
      <c r="E4" s="13">
        <v>12</v>
      </c>
      <c r="F4" s="13">
        <v>0.1</v>
      </c>
      <c r="G4" s="14"/>
      <c r="H4" s="26" t="s">
        <v>39</v>
      </c>
      <c r="I4" s="26" t="s">
        <v>88</v>
      </c>
      <c r="J4" s="26" t="s">
        <v>94</v>
      </c>
      <c r="K4" s="27">
        <v>44240</v>
      </c>
      <c r="L4" s="26" t="s">
        <v>120</v>
      </c>
      <c r="M4" s="26" t="s">
        <v>4</v>
      </c>
      <c r="N4" s="26">
        <v>15</v>
      </c>
      <c r="O4" s="28">
        <v>0.1</v>
      </c>
      <c r="P4" s="29">
        <f>Raw_Transactions!$N4*VLOOKUP(Raw_Transactions!$M4,Raw_Data,3,0)*(1-Raw_Transactions!$O4)</f>
        <v>2025</v>
      </c>
      <c r="Q4" s="30" t="str">
        <f>IF(Raw_Transactions!$P4&gt;$T$6,"Yes","No")</f>
        <v>No</v>
      </c>
      <c r="S4" s="1" t="s">
        <v>83</v>
      </c>
      <c r="T4" s="1" t="str">
        <f>_xlfn.IFNA(VLOOKUP(T2,Raw_Data,4,0), "No product found")</f>
        <v>Software</v>
      </c>
    </row>
    <row r="5" spans="1:20" outlineLevel="2" x14ac:dyDescent="0.25">
      <c r="A5" s="13" t="s">
        <v>28</v>
      </c>
      <c r="B5" s="13">
        <v>44220</v>
      </c>
      <c r="C5" s="13" t="s">
        <v>29</v>
      </c>
      <c r="D5" s="13" t="s">
        <v>10</v>
      </c>
      <c r="E5" s="13">
        <v>3</v>
      </c>
      <c r="F5" s="13">
        <v>0</v>
      </c>
      <c r="G5" s="14"/>
      <c r="H5" s="21" t="s">
        <v>47</v>
      </c>
      <c r="I5" s="21" t="s">
        <v>88</v>
      </c>
      <c r="J5" s="21" t="s">
        <v>91</v>
      </c>
      <c r="K5" s="22">
        <v>44252</v>
      </c>
      <c r="L5" s="21" t="s">
        <v>121</v>
      </c>
      <c r="M5" s="21" t="s">
        <v>4</v>
      </c>
      <c r="N5" s="21">
        <v>10</v>
      </c>
      <c r="O5" s="23">
        <v>0.05</v>
      </c>
      <c r="P5" s="24">
        <f>Raw_Transactions!$N5*VLOOKUP(Raw_Transactions!$M5,Raw_Data,3,0)*(1-Raw_Transactions!$O5)</f>
        <v>1425</v>
      </c>
      <c r="Q5" s="25" t="str">
        <f>IF(Raw_Transactions!$P5&gt;$T$6,"Yes","No")</f>
        <v>No</v>
      </c>
    </row>
    <row r="6" spans="1:20" outlineLevel="2" x14ac:dyDescent="0.25">
      <c r="A6" s="13" t="s">
        <v>30</v>
      </c>
      <c r="B6" s="13">
        <v>44225</v>
      </c>
      <c r="C6" s="13" t="s">
        <v>31</v>
      </c>
      <c r="D6" s="13" t="s">
        <v>9</v>
      </c>
      <c r="E6" s="13">
        <v>2</v>
      </c>
      <c r="F6" s="13">
        <v>0.15</v>
      </c>
      <c r="G6" s="14"/>
      <c r="H6" s="26" t="s">
        <v>61</v>
      </c>
      <c r="I6" s="26" t="s">
        <v>88</v>
      </c>
      <c r="J6" s="26" t="s">
        <v>118</v>
      </c>
      <c r="K6" s="27">
        <v>44280</v>
      </c>
      <c r="L6" s="26" t="s">
        <v>120</v>
      </c>
      <c r="M6" s="26" t="s">
        <v>9</v>
      </c>
      <c r="N6" s="26">
        <v>4</v>
      </c>
      <c r="O6" s="28">
        <v>0.1</v>
      </c>
      <c r="P6" s="29">
        <f>Raw_Transactions!$N6*VLOOKUP(Raw_Transactions!$M6,Raw_Data,3,0)*(1-Raw_Transactions!$O6)</f>
        <v>4320</v>
      </c>
      <c r="Q6" s="30" t="str">
        <f>IF(Raw_Transactions!$P6&gt;$T$6,"Yes","No")</f>
        <v>Yes</v>
      </c>
      <c r="S6" s="15" t="s">
        <v>86</v>
      </c>
      <c r="T6" s="11">
        <v>2500</v>
      </c>
    </row>
    <row r="7" spans="1:20" outlineLevel="2" x14ac:dyDescent="0.25">
      <c r="A7" s="13" t="s">
        <v>32</v>
      </c>
      <c r="B7" s="13">
        <v>44228</v>
      </c>
      <c r="C7" s="13" t="s">
        <v>25</v>
      </c>
      <c r="D7" s="13" t="s">
        <v>4</v>
      </c>
      <c r="E7" s="13">
        <v>20</v>
      </c>
      <c r="F7" s="13">
        <v>0.2</v>
      </c>
      <c r="G7" s="14"/>
      <c r="H7" s="21" t="s">
        <v>63</v>
      </c>
      <c r="I7" s="21" t="s">
        <v>88</v>
      </c>
      <c r="J7" s="21" t="s">
        <v>115</v>
      </c>
      <c r="K7" s="22">
        <v>44285</v>
      </c>
      <c r="L7" s="21" t="s">
        <v>125</v>
      </c>
      <c r="M7" s="21" t="s">
        <v>10</v>
      </c>
      <c r="N7" s="21">
        <v>1</v>
      </c>
      <c r="O7" s="23">
        <v>0</v>
      </c>
      <c r="P7" s="24">
        <f>Raw_Transactions!$N7*VLOOKUP(Raw_Transactions!$M7,Raw_Data,3,0)*(1-Raw_Transactions!$O7)</f>
        <v>400</v>
      </c>
      <c r="Q7" s="25" t="str">
        <f>IF(Raw_Transactions!$P7&gt;$T$6,"Yes","No")</f>
        <v>No</v>
      </c>
    </row>
    <row r="8" spans="1:20" outlineLevel="2" x14ac:dyDescent="0.25">
      <c r="A8" s="13" t="s">
        <v>33</v>
      </c>
      <c r="B8" s="13">
        <v>44230</v>
      </c>
      <c r="C8" s="13" t="s">
        <v>34</v>
      </c>
      <c r="D8" s="13" t="s">
        <v>10</v>
      </c>
      <c r="E8" s="13">
        <v>1</v>
      </c>
      <c r="F8" s="13">
        <v>0</v>
      </c>
      <c r="G8" s="14"/>
      <c r="H8" s="26" t="s">
        <v>67</v>
      </c>
      <c r="I8" s="26" t="s">
        <v>88</v>
      </c>
      <c r="J8" s="26" t="s">
        <v>109</v>
      </c>
      <c r="K8" s="27">
        <v>44290</v>
      </c>
      <c r="L8" s="26" t="s">
        <v>125</v>
      </c>
      <c r="M8" s="26" t="s">
        <v>6</v>
      </c>
      <c r="N8" s="26">
        <v>9</v>
      </c>
      <c r="O8" s="28">
        <v>0.05</v>
      </c>
      <c r="P8" s="29">
        <f>Raw_Transactions!$N8*VLOOKUP(Raw_Transactions!$M8,Raw_Data,3,0)*(1-Raw_Transactions!$O8)</f>
        <v>2137.5</v>
      </c>
      <c r="Q8" s="30" t="str">
        <f>IF(Raw_Transactions!$P8&gt;$T$6,"Yes","No")</f>
        <v>No</v>
      </c>
    </row>
    <row r="9" spans="1:20" outlineLevel="2" x14ac:dyDescent="0.25">
      <c r="A9" s="13" t="s">
        <v>35</v>
      </c>
      <c r="B9" s="13">
        <v>44235</v>
      </c>
      <c r="C9" s="13" t="s">
        <v>36</v>
      </c>
      <c r="D9" s="13" t="s">
        <v>6</v>
      </c>
      <c r="E9" s="13">
        <v>8</v>
      </c>
      <c r="F9" s="13">
        <v>0.05</v>
      </c>
      <c r="G9" s="14"/>
      <c r="H9" s="21" t="s">
        <v>69</v>
      </c>
      <c r="I9" s="21" t="s">
        <v>88</v>
      </c>
      <c r="J9" s="21" t="s">
        <v>106</v>
      </c>
      <c r="K9" s="22">
        <v>44295</v>
      </c>
      <c r="L9" s="21" t="s">
        <v>120</v>
      </c>
      <c r="M9" s="21" t="s">
        <v>7</v>
      </c>
      <c r="N9" s="21">
        <v>3</v>
      </c>
      <c r="O9" s="23">
        <v>0</v>
      </c>
      <c r="P9" s="24">
        <f>Raw_Transactions!$N9*VLOOKUP(Raw_Transactions!$M9,Raw_Data,3,0)*(1-Raw_Transactions!$O9)</f>
        <v>2400</v>
      </c>
      <c r="Q9" s="25" t="str">
        <f>IF(Raw_Transactions!$P9&gt;$T$6,"Yes","No")</f>
        <v>No</v>
      </c>
    </row>
    <row r="10" spans="1:20" outlineLevel="2" x14ac:dyDescent="0.25">
      <c r="A10" s="13" t="s">
        <v>37</v>
      </c>
      <c r="B10" s="13">
        <v>44236</v>
      </c>
      <c r="C10" s="13" t="s">
        <v>38</v>
      </c>
      <c r="D10" s="13" t="s">
        <v>7</v>
      </c>
      <c r="E10" s="13">
        <v>4</v>
      </c>
      <c r="F10" s="13">
        <v>0</v>
      </c>
      <c r="G10" s="14"/>
      <c r="H10" s="26" t="s">
        <v>71</v>
      </c>
      <c r="I10" s="26" t="s">
        <v>88</v>
      </c>
      <c r="J10" s="26" t="s">
        <v>112</v>
      </c>
      <c r="K10" s="27">
        <v>44300</v>
      </c>
      <c r="L10" s="26" t="s">
        <v>120</v>
      </c>
      <c r="M10" s="26" t="s">
        <v>9</v>
      </c>
      <c r="N10" s="26">
        <v>2</v>
      </c>
      <c r="O10" s="28">
        <v>0.1</v>
      </c>
      <c r="P10" s="29">
        <f>Raw_Transactions!$N10*VLOOKUP(Raw_Transactions!$M10,Raw_Data,3,0)*(1-Raw_Transactions!$O10)</f>
        <v>2160</v>
      </c>
      <c r="Q10" s="30" t="str">
        <f>IF(Raw_Transactions!$P10&gt;$T$6,"Yes","No")</f>
        <v>No</v>
      </c>
    </row>
    <row r="11" spans="1:20" outlineLevel="2" x14ac:dyDescent="0.25">
      <c r="A11" s="13" t="s">
        <v>39</v>
      </c>
      <c r="B11" s="13">
        <v>44240</v>
      </c>
      <c r="C11" s="13" t="s">
        <v>40</v>
      </c>
      <c r="D11" s="13" t="s">
        <v>4</v>
      </c>
      <c r="E11" s="13">
        <v>15</v>
      </c>
      <c r="F11" s="13">
        <v>0.1</v>
      </c>
      <c r="G11" s="14"/>
      <c r="H11" s="21" t="s">
        <v>76</v>
      </c>
      <c r="I11" s="21" t="s">
        <v>88</v>
      </c>
      <c r="J11" s="21" t="s">
        <v>103</v>
      </c>
      <c r="K11" s="22">
        <v>44315</v>
      </c>
      <c r="L11" s="21" t="s">
        <v>125</v>
      </c>
      <c r="M11" s="21" t="s">
        <v>6</v>
      </c>
      <c r="N11" s="21">
        <v>14</v>
      </c>
      <c r="O11" s="23">
        <v>0.05</v>
      </c>
      <c r="P11" s="24">
        <f>Raw_Transactions!$N11*VLOOKUP(Raw_Transactions!$M11,Raw_Data,3,0)*(1-Raw_Transactions!$O11)</f>
        <v>3325</v>
      </c>
      <c r="Q11" s="25" t="str">
        <f>IF(Raw_Transactions!$P11&gt;$T$6,"Yes","No")</f>
        <v>Yes</v>
      </c>
    </row>
    <row r="12" spans="1:20" outlineLevel="1" x14ac:dyDescent="0.25">
      <c r="A12" s="13"/>
      <c r="B12" s="13"/>
      <c r="C12" s="13"/>
      <c r="D12" s="13"/>
      <c r="E12" s="13"/>
      <c r="F12" s="13"/>
      <c r="G12" s="14"/>
      <c r="H12" s="21"/>
      <c r="I12" s="36" t="s">
        <v>127</v>
      </c>
      <c r="J12" s="21"/>
      <c r="K12" s="22"/>
      <c r="L12" s="21"/>
      <c r="M12" s="21"/>
      <c r="N12" s="21"/>
      <c r="O12" s="23"/>
      <c r="P12" s="24">
        <f>SUBTOTAL(9,P2:P11)</f>
        <v>22192.5</v>
      </c>
      <c r="Q12" s="25"/>
    </row>
    <row r="13" spans="1:20" outlineLevel="2" x14ac:dyDescent="0.25">
      <c r="A13" s="13" t="s">
        <v>41</v>
      </c>
      <c r="B13" s="13">
        <v>44242</v>
      </c>
      <c r="C13" s="13" t="s">
        <v>42</v>
      </c>
      <c r="D13" s="13" t="s">
        <v>10</v>
      </c>
      <c r="E13" s="13">
        <v>2</v>
      </c>
      <c r="F13" s="13">
        <v>0</v>
      </c>
      <c r="G13" s="14"/>
      <c r="H13" s="26" t="s">
        <v>22</v>
      </c>
      <c r="I13" s="26" t="s">
        <v>87</v>
      </c>
      <c r="J13" s="26" t="s">
        <v>93</v>
      </c>
      <c r="K13" s="27">
        <v>44197</v>
      </c>
      <c r="L13" s="26" t="s">
        <v>123</v>
      </c>
      <c r="M13" s="26" t="s">
        <v>4</v>
      </c>
      <c r="N13" s="26">
        <v>5</v>
      </c>
      <c r="O13" s="28">
        <v>0.05</v>
      </c>
      <c r="P13" s="29">
        <f>Raw_Transactions!$N13*VLOOKUP(Raw_Transactions!$M13,Raw_Data,3,0)*(1-Raw_Transactions!$O13)</f>
        <v>712.5</v>
      </c>
      <c r="Q13" s="30" t="str">
        <f>IF(Raw_Transactions!$P13&gt;$T$6,"Yes","No")</f>
        <v>No</v>
      </c>
    </row>
    <row r="14" spans="1:20" outlineLevel="2" x14ac:dyDescent="0.25">
      <c r="A14" s="13" t="s">
        <v>43</v>
      </c>
      <c r="B14" s="13">
        <v>44245</v>
      </c>
      <c r="C14" s="13" t="s">
        <v>44</v>
      </c>
      <c r="D14" s="13" t="s">
        <v>9</v>
      </c>
      <c r="E14" s="13">
        <v>1</v>
      </c>
      <c r="F14" s="13">
        <v>0</v>
      </c>
      <c r="G14" s="14"/>
      <c r="H14" s="21" t="s">
        <v>30</v>
      </c>
      <c r="I14" s="21" t="s">
        <v>87</v>
      </c>
      <c r="J14" s="21" t="s">
        <v>90</v>
      </c>
      <c r="K14" s="22">
        <v>44225</v>
      </c>
      <c r="L14" s="21" t="s">
        <v>120</v>
      </c>
      <c r="M14" s="21" t="s">
        <v>9</v>
      </c>
      <c r="N14" s="21">
        <v>2</v>
      </c>
      <c r="O14" s="23">
        <v>0.15</v>
      </c>
      <c r="P14" s="24">
        <f>Raw_Transactions!$N14*VLOOKUP(Raw_Transactions!$M14,Raw_Data,3,0)*(1-Raw_Transactions!$O14)</f>
        <v>2040</v>
      </c>
      <c r="Q14" s="25" t="str">
        <f>IF(Raw_Transactions!$P14&gt;$T$6,"Yes","No")</f>
        <v>No</v>
      </c>
    </row>
    <row r="15" spans="1:20" outlineLevel="2" x14ac:dyDescent="0.25">
      <c r="A15" s="13" t="s">
        <v>45</v>
      </c>
      <c r="B15" s="13">
        <v>44250</v>
      </c>
      <c r="C15" s="13" t="s">
        <v>46</v>
      </c>
      <c r="D15" s="13" t="s">
        <v>6</v>
      </c>
      <c r="E15" s="13">
        <v>25</v>
      </c>
      <c r="F15" s="13">
        <v>0.15</v>
      </c>
      <c r="G15" s="14"/>
      <c r="H15" s="26" t="s">
        <v>43</v>
      </c>
      <c r="I15" s="26" t="s">
        <v>87</v>
      </c>
      <c r="J15" s="26" t="s">
        <v>117</v>
      </c>
      <c r="K15" s="27">
        <v>44245</v>
      </c>
      <c r="L15" s="26" t="s">
        <v>123</v>
      </c>
      <c r="M15" s="26" t="s">
        <v>9</v>
      </c>
      <c r="N15" s="26">
        <v>1</v>
      </c>
      <c r="O15" s="28">
        <v>0</v>
      </c>
      <c r="P15" s="29">
        <f>Raw_Transactions!$N15*VLOOKUP(Raw_Transactions!$M15,Raw_Data,3,0)*(1-Raw_Transactions!$O15)</f>
        <v>1200</v>
      </c>
      <c r="Q15" s="30" t="str">
        <f>IF(Raw_Transactions!$P15&gt;$T$6,"Yes","No")</f>
        <v>No</v>
      </c>
    </row>
    <row r="16" spans="1:20" outlineLevel="2" x14ac:dyDescent="0.25">
      <c r="A16" s="13" t="s">
        <v>47</v>
      </c>
      <c r="B16" s="13">
        <v>44252</v>
      </c>
      <c r="C16" s="13" t="s">
        <v>48</v>
      </c>
      <c r="D16" s="13" t="s">
        <v>4</v>
      </c>
      <c r="E16" s="13">
        <v>10</v>
      </c>
      <c r="F16" s="13">
        <v>0.05</v>
      </c>
      <c r="G16" s="14"/>
      <c r="H16" s="21" t="s">
        <v>45</v>
      </c>
      <c r="I16" s="21" t="s">
        <v>87</v>
      </c>
      <c r="J16" s="21" t="s">
        <v>114</v>
      </c>
      <c r="K16" s="22">
        <v>44250</v>
      </c>
      <c r="L16" s="21" t="s">
        <v>122</v>
      </c>
      <c r="M16" s="21" t="s">
        <v>6</v>
      </c>
      <c r="N16" s="21">
        <v>25</v>
      </c>
      <c r="O16" s="23">
        <v>0.15</v>
      </c>
      <c r="P16" s="24">
        <f>Raw_Transactions!$N16*VLOOKUP(Raw_Transactions!$M16,Raw_Data,3,0)*(1-Raw_Transactions!$O16)</f>
        <v>5312.5</v>
      </c>
      <c r="Q16" s="25" t="str">
        <f>IF(Raw_Transactions!$P16&gt;$T$6,"Yes","No")</f>
        <v>Yes</v>
      </c>
    </row>
    <row r="17" spans="1:17" outlineLevel="2" x14ac:dyDescent="0.25">
      <c r="A17" s="13" t="s">
        <v>49</v>
      </c>
      <c r="B17" s="13">
        <v>44255</v>
      </c>
      <c r="C17" s="13" t="s">
        <v>50</v>
      </c>
      <c r="D17" s="13" t="s">
        <v>7</v>
      </c>
      <c r="E17" s="13">
        <v>3</v>
      </c>
      <c r="F17" s="13">
        <v>0</v>
      </c>
      <c r="G17" s="14"/>
      <c r="H17" s="26" t="s">
        <v>49</v>
      </c>
      <c r="I17" s="26" t="s">
        <v>87</v>
      </c>
      <c r="J17" s="26" t="s">
        <v>108</v>
      </c>
      <c r="K17" s="27">
        <v>44255</v>
      </c>
      <c r="L17" s="26" t="s">
        <v>122</v>
      </c>
      <c r="M17" s="26" t="s">
        <v>7</v>
      </c>
      <c r="N17" s="26">
        <v>3</v>
      </c>
      <c r="O17" s="28">
        <v>0</v>
      </c>
      <c r="P17" s="29">
        <f>Raw_Transactions!$N17*VLOOKUP(Raw_Transactions!$M17,Raw_Data,3,0)*(1-Raw_Transactions!$O17)</f>
        <v>2400</v>
      </c>
      <c r="Q17" s="30" t="str">
        <f>IF(Raw_Transactions!$P17&gt;$T$6,"Yes","No")</f>
        <v>No</v>
      </c>
    </row>
    <row r="18" spans="1:17" outlineLevel="2" x14ac:dyDescent="0.25">
      <c r="A18" s="13" t="s">
        <v>51</v>
      </c>
      <c r="B18" s="13">
        <v>44260</v>
      </c>
      <c r="C18" s="13" t="s">
        <v>52</v>
      </c>
      <c r="D18" s="13" t="s">
        <v>9</v>
      </c>
      <c r="E18" s="13">
        <v>5</v>
      </c>
      <c r="F18" s="13">
        <v>0.1</v>
      </c>
      <c r="G18" s="14"/>
      <c r="H18" s="21" t="s">
        <v>51</v>
      </c>
      <c r="I18" s="21" t="s">
        <v>87</v>
      </c>
      <c r="J18" s="21" t="s">
        <v>105</v>
      </c>
      <c r="K18" s="22">
        <v>44260</v>
      </c>
      <c r="L18" s="21" t="s">
        <v>123</v>
      </c>
      <c r="M18" s="21" t="s">
        <v>9</v>
      </c>
      <c r="N18" s="21">
        <v>5</v>
      </c>
      <c r="O18" s="23">
        <v>0.1</v>
      </c>
      <c r="P18" s="24">
        <f>Raw_Transactions!$N18*VLOOKUP(Raw_Transactions!$M18,Raw_Data,3,0)*(1-Raw_Transactions!$O18)</f>
        <v>5400</v>
      </c>
      <c r="Q18" s="25" t="str">
        <f>IF(Raw_Transactions!$P18&gt;$T$6,"Yes","No")</f>
        <v>Yes</v>
      </c>
    </row>
    <row r="19" spans="1:17" outlineLevel="2" x14ac:dyDescent="0.25">
      <c r="A19" s="13" t="s">
        <v>53</v>
      </c>
      <c r="B19" s="13">
        <v>44265</v>
      </c>
      <c r="C19" s="13" t="s">
        <v>54</v>
      </c>
      <c r="D19" s="13" t="s">
        <v>10</v>
      </c>
      <c r="E19" s="13">
        <v>7</v>
      </c>
      <c r="F19" s="13">
        <v>0</v>
      </c>
      <c r="G19" s="14"/>
      <c r="H19" s="26" t="s">
        <v>53</v>
      </c>
      <c r="I19" s="26" t="s">
        <v>87</v>
      </c>
      <c r="J19" s="26" t="s">
        <v>111</v>
      </c>
      <c r="K19" s="27">
        <v>44265</v>
      </c>
      <c r="L19" s="26" t="s">
        <v>123</v>
      </c>
      <c r="M19" s="26" t="s">
        <v>10</v>
      </c>
      <c r="N19" s="26">
        <v>7</v>
      </c>
      <c r="O19" s="28">
        <v>0</v>
      </c>
      <c r="P19" s="29">
        <f>Raw_Transactions!$N19*VLOOKUP(Raw_Transactions!$M19,Raw_Data,3,0)*(1-Raw_Transactions!$O19)</f>
        <v>2800</v>
      </c>
      <c r="Q19" s="30" t="str">
        <f>IF(Raw_Transactions!$P19&gt;$T$6,"Yes","No")</f>
        <v>Yes</v>
      </c>
    </row>
    <row r="20" spans="1:17" outlineLevel="2" x14ac:dyDescent="0.25">
      <c r="A20" s="13" t="s">
        <v>55</v>
      </c>
      <c r="B20" s="13">
        <v>44270</v>
      </c>
      <c r="C20" s="13" t="s">
        <v>56</v>
      </c>
      <c r="D20" s="13" t="s">
        <v>4</v>
      </c>
      <c r="E20" s="13">
        <v>30</v>
      </c>
      <c r="F20" s="13">
        <v>0.2</v>
      </c>
      <c r="G20" s="14"/>
      <c r="H20" s="21" t="s">
        <v>59</v>
      </c>
      <c r="I20" s="21" t="s">
        <v>87</v>
      </c>
      <c r="J20" s="21" t="s">
        <v>102</v>
      </c>
      <c r="K20" s="22">
        <v>44275</v>
      </c>
      <c r="L20" s="21" t="s">
        <v>122</v>
      </c>
      <c r="M20" s="21" t="s">
        <v>7</v>
      </c>
      <c r="N20" s="21">
        <v>2</v>
      </c>
      <c r="O20" s="23">
        <v>0</v>
      </c>
      <c r="P20" s="24">
        <f>Raw_Transactions!$N20*VLOOKUP(Raw_Transactions!$M20,Raw_Data,3,0)*(1-Raw_Transactions!$O20)</f>
        <v>1600</v>
      </c>
      <c r="Q20" s="25" t="str">
        <f>IF(Raw_Transactions!$P20&gt;$T$6,"Yes","No")</f>
        <v>No</v>
      </c>
    </row>
    <row r="21" spans="1:17" outlineLevel="2" x14ac:dyDescent="0.25">
      <c r="A21" s="13" t="s">
        <v>57</v>
      </c>
      <c r="B21" s="13">
        <v>44272</v>
      </c>
      <c r="C21" s="13" t="s">
        <v>58</v>
      </c>
      <c r="D21" s="13" t="s">
        <v>6</v>
      </c>
      <c r="E21" s="13">
        <v>6</v>
      </c>
      <c r="F21" s="13">
        <v>0.05</v>
      </c>
      <c r="G21" s="14"/>
      <c r="H21" s="26" t="s">
        <v>73</v>
      </c>
      <c r="I21" s="26" t="s">
        <v>87</v>
      </c>
      <c r="J21" s="26" t="s">
        <v>99</v>
      </c>
      <c r="K21" s="27">
        <v>44305</v>
      </c>
      <c r="L21" s="26" t="s">
        <v>123</v>
      </c>
      <c r="M21" s="26" t="s">
        <v>10</v>
      </c>
      <c r="N21" s="26">
        <v>5</v>
      </c>
      <c r="O21" s="28">
        <v>0</v>
      </c>
      <c r="P21" s="29">
        <f>Raw_Transactions!$N21*VLOOKUP(Raw_Transactions!$M21,Raw_Data,3,0)*(1-Raw_Transactions!$O21)</f>
        <v>2000</v>
      </c>
      <c r="Q21" s="30" t="str">
        <f>IF(Raw_Transactions!$P21&gt;$T$6,"Yes","No")</f>
        <v>No</v>
      </c>
    </row>
    <row r="22" spans="1:17" outlineLevel="2" x14ac:dyDescent="0.25">
      <c r="A22" s="13" t="s">
        <v>59</v>
      </c>
      <c r="B22" s="13">
        <v>44275</v>
      </c>
      <c r="C22" s="13" t="s">
        <v>60</v>
      </c>
      <c r="D22" s="13" t="s">
        <v>7</v>
      </c>
      <c r="E22" s="13">
        <v>2</v>
      </c>
      <c r="F22" s="13">
        <v>0</v>
      </c>
      <c r="G22" s="14"/>
      <c r="H22" s="21" t="s">
        <v>75</v>
      </c>
      <c r="I22" s="21" t="s">
        <v>87</v>
      </c>
      <c r="J22" s="21" t="s">
        <v>96</v>
      </c>
      <c r="K22" s="22">
        <v>44310</v>
      </c>
      <c r="L22" s="21" t="s">
        <v>122</v>
      </c>
      <c r="M22" s="21" t="s">
        <v>4</v>
      </c>
      <c r="N22" s="21">
        <v>22</v>
      </c>
      <c r="O22" s="23">
        <v>0.2</v>
      </c>
      <c r="P22" s="24">
        <f>Raw_Transactions!$N22*VLOOKUP(Raw_Transactions!$M22,Raw_Data,3,0)*(1-Raw_Transactions!$O22)</f>
        <v>2640</v>
      </c>
      <c r="Q22" s="25" t="str">
        <f>IF(Raw_Transactions!$P22&gt;$T$6,"Yes","No")</f>
        <v>Yes</v>
      </c>
    </row>
    <row r="23" spans="1:17" outlineLevel="1" x14ac:dyDescent="0.25">
      <c r="A23" s="13"/>
      <c r="B23" s="13"/>
      <c r="C23" s="13"/>
      <c r="D23" s="13"/>
      <c r="E23" s="13"/>
      <c r="F23" s="13"/>
      <c r="G23" s="14"/>
      <c r="H23" s="21"/>
      <c r="I23" s="36" t="s">
        <v>128</v>
      </c>
      <c r="J23" s="21"/>
      <c r="K23" s="22"/>
      <c r="L23" s="21"/>
      <c r="M23" s="21"/>
      <c r="N23" s="21"/>
      <c r="O23" s="23"/>
      <c r="P23" s="24">
        <f>SUBTOTAL(9,P13:P22)</f>
        <v>26105</v>
      </c>
      <c r="Q23" s="25"/>
    </row>
    <row r="24" spans="1:17" outlineLevel="2" x14ac:dyDescent="0.25">
      <c r="A24" s="13" t="s">
        <v>61</v>
      </c>
      <c r="B24" s="13">
        <v>44280</v>
      </c>
      <c r="C24" s="13" t="s">
        <v>62</v>
      </c>
      <c r="D24" s="13" t="s">
        <v>9</v>
      </c>
      <c r="E24" s="13">
        <v>4</v>
      </c>
      <c r="F24" s="13">
        <v>0.1</v>
      </c>
      <c r="G24" s="14"/>
      <c r="H24" s="26" t="s">
        <v>26</v>
      </c>
      <c r="I24" s="26" t="s">
        <v>89</v>
      </c>
      <c r="J24" s="26" t="s">
        <v>116</v>
      </c>
      <c r="K24" s="27">
        <v>44215</v>
      </c>
      <c r="L24" s="26" t="s">
        <v>124</v>
      </c>
      <c r="M24" s="26" t="s">
        <v>6</v>
      </c>
      <c r="N24" s="26">
        <v>12</v>
      </c>
      <c r="O24" s="28">
        <v>0.1</v>
      </c>
      <c r="P24" s="29">
        <f>Raw_Transactions!$N24*VLOOKUP(Raw_Transactions!$M24,Raw_Data,3,0)*(1-Raw_Transactions!$O24)</f>
        <v>2700</v>
      </c>
      <c r="Q24" s="30" t="str">
        <f>IF(Raw_Transactions!$P24&gt;$T$6,"Yes","No")</f>
        <v>Yes</v>
      </c>
    </row>
    <row r="25" spans="1:17" outlineLevel="2" x14ac:dyDescent="0.25">
      <c r="A25" s="13" t="s">
        <v>63</v>
      </c>
      <c r="B25" s="13">
        <v>44285</v>
      </c>
      <c r="C25" s="13" t="s">
        <v>64</v>
      </c>
      <c r="D25" s="13" t="s">
        <v>10</v>
      </c>
      <c r="E25" s="13">
        <v>1</v>
      </c>
      <c r="F25" s="13">
        <v>0</v>
      </c>
      <c r="G25" s="14"/>
      <c r="H25" s="21" t="s">
        <v>28</v>
      </c>
      <c r="I25" s="21" t="s">
        <v>89</v>
      </c>
      <c r="J25" s="21" t="s">
        <v>113</v>
      </c>
      <c r="K25" s="22">
        <v>44220</v>
      </c>
      <c r="L25" s="21" t="s">
        <v>121</v>
      </c>
      <c r="M25" s="21" t="s">
        <v>10</v>
      </c>
      <c r="N25" s="21">
        <v>3</v>
      </c>
      <c r="O25" s="23">
        <v>0</v>
      </c>
      <c r="P25" s="24">
        <f>Raw_Transactions!$N25*VLOOKUP(Raw_Transactions!$M25,Raw_Data,3,0)*(1-Raw_Transactions!$O25)</f>
        <v>1200</v>
      </c>
      <c r="Q25" s="25" t="str">
        <f>IF(Raw_Transactions!$P25&gt;$T$6,"Yes","No")</f>
        <v>No</v>
      </c>
    </row>
    <row r="26" spans="1:17" outlineLevel="2" x14ac:dyDescent="0.25">
      <c r="A26" s="13" t="s">
        <v>65</v>
      </c>
      <c r="B26" s="13">
        <v>44288</v>
      </c>
      <c r="C26" s="13" t="s">
        <v>66</v>
      </c>
      <c r="D26" s="13" t="s">
        <v>4</v>
      </c>
      <c r="E26" s="13">
        <v>18</v>
      </c>
      <c r="F26" s="13">
        <v>0.15</v>
      </c>
      <c r="G26" s="14"/>
      <c r="H26" s="26" t="s">
        <v>32</v>
      </c>
      <c r="I26" s="26" t="s">
        <v>89</v>
      </c>
      <c r="J26" s="26" t="s">
        <v>107</v>
      </c>
      <c r="K26" s="27">
        <v>44228</v>
      </c>
      <c r="L26" s="26" t="s">
        <v>121</v>
      </c>
      <c r="M26" s="26" t="s">
        <v>4</v>
      </c>
      <c r="N26" s="26">
        <v>20</v>
      </c>
      <c r="O26" s="28">
        <v>0.2</v>
      </c>
      <c r="P26" s="29">
        <f>Raw_Transactions!$N26*VLOOKUP(Raw_Transactions!$M26,Raw_Data,3,0)*(1-Raw_Transactions!$O26)</f>
        <v>2400</v>
      </c>
      <c r="Q26" s="30" t="str">
        <f>IF(Raw_Transactions!$P26&gt;$T$6,"Yes","No")</f>
        <v>No</v>
      </c>
    </row>
    <row r="27" spans="1:17" outlineLevel="2" x14ac:dyDescent="0.25">
      <c r="A27" s="13" t="s">
        <v>67</v>
      </c>
      <c r="B27" s="13">
        <v>44290</v>
      </c>
      <c r="C27" s="13" t="s">
        <v>68</v>
      </c>
      <c r="D27" s="13" t="s">
        <v>6</v>
      </c>
      <c r="E27" s="13">
        <v>9</v>
      </c>
      <c r="F27" s="13">
        <v>0.05</v>
      </c>
      <c r="G27" s="14"/>
      <c r="H27" s="21" t="s">
        <v>33</v>
      </c>
      <c r="I27" s="21" t="s">
        <v>89</v>
      </c>
      <c r="J27" s="21" t="s">
        <v>104</v>
      </c>
      <c r="K27" s="22">
        <v>44230</v>
      </c>
      <c r="L27" s="21" t="s">
        <v>124</v>
      </c>
      <c r="M27" s="21" t="s">
        <v>10</v>
      </c>
      <c r="N27" s="21">
        <v>1</v>
      </c>
      <c r="O27" s="23">
        <v>0</v>
      </c>
      <c r="P27" s="24">
        <f>Raw_Transactions!$N27*VLOOKUP(Raw_Transactions!$M27,Raw_Data,3,0)*(1-Raw_Transactions!$O27)</f>
        <v>400</v>
      </c>
      <c r="Q27" s="25" t="str">
        <f>IF(Raw_Transactions!$P27&gt;$T$6,"Yes","No")</f>
        <v>No</v>
      </c>
    </row>
    <row r="28" spans="1:17" outlineLevel="2" x14ac:dyDescent="0.25">
      <c r="A28" s="13" t="s">
        <v>69</v>
      </c>
      <c r="B28" s="13">
        <v>44295</v>
      </c>
      <c r="C28" s="13" t="s">
        <v>70</v>
      </c>
      <c r="D28" s="13" t="s">
        <v>7</v>
      </c>
      <c r="E28" s="13">
        <v>3</v>
      </c>
      <c r="F28" s="13">
        <v>0</v>
      </c>
      <c r="G28" s="14"/>
      <c r="H28" s="26" t="s">
        <v>35</v>
      </c>
      <c r="I28" s="26" t="s">
        <v>89</v>
      </c>
      <c r="J28" s="26" t="s">
        <v>110</v>
      </c>
      <c r="K28" s="27">
        <v>44235</v>
      </c>
      <c r="L28" s="26" t="s">
        <v>124</v>
      </c>
      <c r="M28" s="26" t="s">
        <v>6</v>
      </c>
      <c r="N28" s="26">
        <v>8</v>
      </c>
      <c r="O28" s="28">
        <v>0.05</v>
      </c>
      <c r="P28" s="29">
        <f>Raw_Transactions!$N28*VLOOKUP(Raw_Transactions!$M28,Raw_Data,3,0)*(1-Raw_Transactions!$O28)</f>
        <v>1900</v>
      </c>
      <c r="Q28" s="30" t="str">
        <f>IF(Raw_Transactions!$P28&gt;$T$6,"Yes","No")</f>
        <v>No</v>
      </c>
    </row>
    <row r="29" spans="1:17" outlineLevel="2" x14ac:dyDescent="0.25">
      <c r="A29" s="13" t="s">
        <v>71</v>
      </c>
      <c r="B29" s="13">
        <v>44300</v>
      </c>
      <c r="C29" s="13" t="s">
        <v>72</v>
      </c>
      <c r="D29" s="13" t="s">
        <v>9</v>
      </c>
      <c r="E29" s="13">
        <v>2</v>
      </c>
      <c r="F29" s="13">
        <v>0.1</v>
      </c>
      <c r="G29" s="14"/>
      <c r="H29" s="21" t="s">
        <v>41</v>
      </c>
      <c r="I29" s="21" t="s">
        <v>89</v>
      </c>
      <c r="J29" s="21" t="s">
        <v>101</v>
      </c>
      <c r="K29" s="22">
        <v>44242</v>
      </c>
      <c r="L29" s="21" t="s">
        <v>121</v>
      </c>
      <c r="M29" s="21" t="s">
        <v>10</v>
      </c>
      <c r="N29" s="21">
        <v>2</v>
      </c>
      <c r="O29" s="23">
        <v>0</v>
      </c>
      <c r="P29" s="24">
        <f>Raw_Transactions!$N29*VLOOKUP(Raw_Transactions!$M29,Raw_Data,3,0)*(1-Raw_Transactions!$O29)</f>
        <v>800</v>
      </c>
      <c r="Q29" s="25" t="str">
        <f>IF(Raw_Transactions!$P29&gt;$T$6,"Yes","No")</f>
        <v>No</v>
      </c>
    </row>
    <row r="30" spans="1:17" outlineLevel="2" x14ac:dyDescent="0.25">
      <c r="A30" s="13" t="s">
        <v>73</v>
      </c>
      <c r="B30" s="13">
        <v>44305</v>
      </c>
      <c r="C30" s="13" t="s">
        <v>74</v>
      </c>
      <c r="D30" s="13" t="s">
        <v>10</v>
      </c>
      <c r="E30" s="13">
        <v>5</v>
      </c>
      <c r="F30" s="13">
        <v>0</v>
      </c>
      <c r="G30" s="14"/>
      <c r="H30" s="26" t="s">
        <v>55</v>
      </c>
      <c r="I30" s="26" t="s">
        <v>89</v>
      </c>
      <c r="J30" s="26" t="s">
        <v>98</v>
      </c>
      <c r="K30" s="27">
        <v>44270</v>
      </c>
      <c r="L30" s="26" t="s">
        <v>125</v>
      </c>
      <c r="M30" s="26" t="s">
        <v>4</v>
      </c>
      <c r="N30" s="26">
        <v>30</v>
      </c>
      <c r="O30" s="28">
        <v>0.2</v>
      </c>
      <c r="P30" s="29">
        <f>Raw_Transactions!$N30*VLOOKUP(Raw_Transactions!$M30,Raw_Data,3,0)*(1-Raw_Transactions!$O30)</f>
        <v>3600</v>
      </c>
      <c r="Q30" s="30" t="str">
        <f>IF(Raw_Transactions!$P30&gt;$T$6,"Yes","No")</f>
        <v>Yes</v>
      </c>
    </row>
    <row r="31" spans="1:17" outlineLevel="2" x14ac:dyDescent="0.25">
      <c r="A31" s="13" t="s">
        <v>75</v>
      </c>
      <c r="B31" s="13">
        <v>44310</v>
      </c>
      <c r="C31" s="13" t="s">
        <v>64</v>
      </c>
      <c r="D31" s="13" t="s">
        <v>4</v>
      </c>
      <c r="E31" s="13">
        <v>22</v>
      </c>
      <c r="F31" s="13">
        <v>0.2</v>
      </c>
      <c r="G31" s="14"/>
      <c r="H31" s="21" t="s">
        <v>57</v>
      </c>
      <c r="I31" s="21" t="s">
        <v>89</v>
      </c>
      <c r="J31" s="21" t="s">
        <v>95</v>
      </c>
      <c r="K31" s="22">
        <v>44272</v>
      </c>
      <c r="L31" s="21" t="s">
        <v>121</v>
      </c>
      <c r="M31" s="21" t="s">
        <v>6</v>
      </c>
      <c r="N31" s="21">
        <v>6</v>
      </c>
      <c r="O31" s="23">
        <v>0.05</v>
      </c>
      <c r="P31" s="24">
        <f>Raw_Transactions!$N31*VLOOKUP(Raw_Transactions!$M31,Raw_Data,3,0)*(1-Raw_Transactions!$O31)</f>
        <v>1425</v>
      </c>
      <c r="Q31" s="25" t="str">
        <f>IF(Raw_Transactions!$P31&gt;$T$6,"Yes","No")</f>
        <v>No</v>
      </c>
    </row>
    <row r="32" spans="1:17" outlineLevel="2" x14ac:dyDescent="0.25">
      <c r="A32" s="13" t="s">
        <v>76</v>
      </c>
      <c r="B32" s="13">
        <v>44315</v>
      </c>
      <c r="C32" s="13" t="s">
        <v>54</v>
      </c>
      <c r="D32" s="13" t="s">
        <v>6</v>
      </c>
      <c r="E32" s="13">
        <v>14</v>
      </c>
      <c r="F32" s="13">
        <v>0.05</v>
      </c>
      <c r="G32" s="14"/>
      <c r="H32" s="26" t="s">
        <v>65</v>
      </c>
      <c r="I32" s="26" t="s">
        <v>89</v>
      </c>
      <c r="J32" s="26" t="s">
        <v>92</v>
      </c>
      <c r="K32" s="27">
        <v>44288</v>
      </c>
      <c r="L32" s="26" t="s">
        <v>122</v>
      </c>
      <c r="M32" s="26" t="s">
        <v>4</v>
      </c>
      <c r="N32" s="26">
        <v>18</v>
      </c>
      <c r="O32" s="28">
        <v>0.15</v>
      </c>
      <c r="P32" s="29">
        <f>Raw_Transactions!$N32*VLOOKUP(Raw_Transactions!$M32,Raw_Data,3,0)*(1-Raw_Transactions!$O32)</f>
        <v>2295</v>
      </c>
      <c r="Q32" s="30" t="str">
        <f>IF(Raw_Transactions!$P32&gt;$T$6,"Yes","No")</f>
        <v>No</v>
      </c>
    </row>
    <row r="33" spans="1:17" outlineLevel="2" x14ac:dyDescent="0.25">
      <c r="A33" s="13" t="s">
        <v>77</v>
      </c>
      <c r="B33" s="13">
        <v>44320</v>
      </c>
      <c r="C33" s="13" t="s">
        <v>78</v>
      </c>
      <c r="D33" s="13" t="s">
        <v>7</v>
      </c>
      <c r="E33" s="13">
        <v>1</v>
      </c>
      <c r="F33" s="13">
        <v>0</v>
      </c>
      <c r="G33" s="14"/>
      <c r="H33" s="31" t="s">
        <v>77</v>
      </c>
      <c r="I33" s="31" t="s">
        <v>89</v>
      </c>
      <c r="J33" s="31" t="s">
        <v>119</v>
      </c>
      <c r="K33" s="32">
        <v>44320</v>
      </c>
      <c r="L33" s="31" t="s">
        <v>121</v>
      </c>
      <c r="M33" s="31" t="s">
        <v>7</v>
      </c>
      <c r="N33" s="31">
        <v>1</v>
      </c>
      <c r="O33" s="33">
        <v>0</v>
      </c>
      <c r="P33" s="34">
        <f>Raw_Transactions!$N33*VLOOKUP(Raw_Transactions!$M33,Raw_Data,3,0)*(1-Raw_Transactions!$O33)</f>
        <v>800</v>
      </c>
      <c r="Q33" s="35" t="str">
        <f>IF(Raw_Transactions!$P33&gt;$T$6,"Yes","No")</f>
        <v>No</v>
      </c>
    </row>
    <row r="34" spans="1:17" outlineLevel="1" x14ac:dyDescent="0.25">
      <c r="A34" s="13"/>
      <c r="B34" s="13"/>
      <c r="C34" s="13"/>
      <c r="D34" s="13"/>
      <c r="E34" s="13"/>
      <c r="F34" s="13"/>
      <c r="G34" s="14"/>
      <c r="H34" s="37"/>
      <c r="I34" s="41" t="s">
        <v>129</v>
      </c>
      <c r="J34" s="37"/>
      <c r="K34" s="38"/>
      <c r="L34" s="37"/>
      <c r="M34" s="37"/>
      <c r="N34" s="37"/>
      <c r="O34" s="39"/>
      <c r="P34" s="40">
        <f>SUBTOTAL(9,P24:P33)</f>
        <v>17520</v>
      </c>
      <c r="Q34" s="37"/>
    </row>
    <row r="35" spans="1:17" x14ac:dyDescent="0.25">
      <c r="A35" s="13"/>
      <c r="B35" s="13"/>
      <c r="C35" s="13"/>
      <c r="D35" s="13"/>
      <c r="E35" s="13"/>
      <c r="F35" s="13"/>
      <c r="G35" s="14"/>
      <c r="H35" s="42"/>
      <c r="I35" s="43" t="s">
        <v>126</v>
      </c>
      <c r="J35" s="42"/>
      <c r="K35" s="44"/>
      <c r="L35" s="42"/>
      <c r="M35" s="42"/>
      <c r="N35" s="42"/>
      <c r="O35" s="45"/>
      <c r="P35" s="46">
        <f>SUBTOTAL(9,P2:P33)</f>
        <v>65817.5</v>
      </c>
      <c r="Q35" s="42"/>
    </row>
  </sheetData>
  <sortState xmlns:xlrd2="http://schemas.microsoft.com/office/spreadsheetml/2017/richdata2" ref="A2:F33">
    <sortCondition ref="B2:B33"/>
  </sortState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578D0D-F568-4836-9FDE-E86CA402335F}">
          <x14:formula1>
            <xm:f>'Raw Data'!$A$2:$A$6</xm:f>
          </x14:formula1>
          <xm:sqref>T2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Raw Data</vt:lpstr>
      <vt:lpstr>Raw_Transactions</vt:lpstr>
      <vt:lpstr>Buyers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Cichy</dc:creator>
  <cp:lastModifiedBy>Kacper Cichy</cp:lastModifiedBy>
  <dcterms:created xsi:type="dcterms:W3CDTF">2026-07-18T11:42:55Z</dcterms:created>
  <dcterms:modified xsi:type="dcterms:W3CDTF">2026-07-18T12:30:39Z</dcterms:modified>
</cp:coreProperties>
</file>