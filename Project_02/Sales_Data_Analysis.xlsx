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acpe\OneDrive\Desktop\EXCEL\"/>
    </mc:Choice>
  </mc:AlternateContent>
  <xr:revisionPtr revIDLastSave="0" documentId="13_ncr:1_{C2B37840-B352-44A2-813F-9174068506FF}" xr6:coauthVersionLast="47" xr6:coauthVersionMax="47" xr10:uidLastSave="{00000000-0000-0000-0000-000000000000}"/>
  <bookViews>
    <workbookView xWindow="-28920" yWindow="3015" windowWidth="29040" windowHeight="15720" xr2:uid="{89B33999-F455-42D8-81E9-5E6B399339D6}"/>
  </bookViews>
  <sheets>
    <sheet name="Sales_Data_Analysis" sheetId="2" r:id="rId1"/>
    <sheet name="Reference_Tables" sheetId="1" r:id="rId2"/>
    <sheet name="Quick_Analysis" sheetId="3" r:id="rId3"/>
    <sheet name="Pivot_Table_Gross_Sales_By_Date" sheetId="5" r:id="rId4"/>
    <sheet name="Pivot_Table_Average_Profit_Per_" sheetId="6" r:id="rId5"/>
  </sheets>
  <definedNames>
    <definedName name="Commision_Tiers">Table3[#All]</definedName>
    <definedName name="ExternalData_1" localSheetId="0" hidden="1">Sales_Data_Analysis!$A$1:$M$120</definedName>
    <definedName name="Managers">Table4[#All]</definedName>
    <definedName name="Managers_Table">Table4[]</definedName>
    <definedName name="NativeTimeline_Payment_day">#N/A</definedName>
    <definedName name="Orders">Sales_Data_Analysis[#All]</definedName>
    <definedName name="Sales_Data">Sales_Data_Analysis!$A$1:$M$57</definedName>
    <definedName name="Slicer_Category">#N/A</definedName>
  </definedNames>
  <calcPr calcId="191029"/>
  <pivotCaches>
    <pivotCache cacheId="4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7" i="2" l="1"/>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T3"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D3" i="2"/>
  <c r="D2"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M3" i="2"/>
  <c r="N3" i="2" s="1"/>
  <c r="M4" i="2"/>
  <c r="N4" i="2" s="1"/>
  <c r="M5" i="2"/>
  <c r="N5" i="2" s="1"/>
  <c r="M6" i="2"/>
  <c r="N6" i="2" s="1"/>
  <c r="M7" i="2"/>
  <c r="N7" i="2" s="1"/>
  <c r="M8" i="2"/>
  <c r="N8"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3" i="2"/>
  <c r="N33" i="2" s="1"/>
  <c r="M34" i="2"/>
  <c r="N34" i="2" s="1"/>
  <c r="M35" i="2"/>
  <c r="N35" i="2" s="1"/>
  <c r="M36" i="2"/>
  <c r="N36" i="2" s="1"/>
  <c r="M37" i="2"/>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2" i="2"/>
  <c r="N2" i="2" s="1"/>
  <c r="E5" i="3"/>
  <c r="F5" i="3" l="1"/>
  <c r="N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Kacper Cichy</author>
  </authors>
  <commentList>
    <comment ref="A57" authorId="0" shapeId="0" xr:uid="{F01F3F6B-AEE3-4E8E-96C3-80417B2BC7E5}">
      <text>
        <r>
          <rPr>
            <b/>
            <sz val="9"/>
            <color indexed="81"/>
            <rFont val="Tahoma"/>
            <charset val="1"/>
          </rPr>
          <t>Kacper Cichy:</t>
        </r>
        <r>
          <rPr>
            <sz val="9"/>
            <color indexed="81"/>
            <rFont val="Tahoma"/>
            <charset val="1"/>
          </rPr>
          <t xml:space="preserve">
Invalid / Missing Data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085D41-A230-4E43-BFC1-59E1E9B504D7}" keepAlive="1" name="Query - Sales_Data_Analysis" description="Connection to the 'Sales_Data_Analysis' query in the workbook." type="5" refreshedVersion="8" background="1" saveData="1">
    <dbPr connection="Provider=Microsoft.Mashup.OleDb.1;Data Source=$Workbook$;Location=Sales_Data_Analysis;Extended Properties=&quot;&quot;" command="SELECT * FROM [Sales_Data_Analysis]"/>
  </connection>
  <connection id="2" xr16:uid="{309263CC-330C-4F67-93B0-E73547BB180C}" keepAlive="1" name="Query - Sales_Data_Analysis (2)" description="Connection to the 'Sales_Data_Analysis (2)' query in the workbook." type="5" refreshedVersion="0" background="1">
    <dbPr connection="Provider=Microsoft.Mashup.OleDb.1;Data Source=$Workbook$;Location=&quot;Sales_Data_Analysis (2)&quot;;Extended Properties=&quot;&quot;" command="SELECT * FROM [Sales_Data_Analysis (2)]"/>
  </connection>
</connections>
</file>

<file path=xl/sharedStrings.xml><?xml version="1.0" encoding="utf-8"?>
<sst xmlns="http://schemas.openxmlformats.org/spreadsheetml/2006/main" count="935" uniqueCount="348">
  <si>
    <t>Order_ID</t>
  </si>
  <si>
    <t>Order_Date</t>
  </si>
  <si>
    <t>Delivery_Date</t>
  </si>
  <si>
    <t>Country_Region</t>
  </si>
  <si>
    <t>Category</t>
  </si>
  <si>
    <t>Product_Name</t>
  </si>
  <si>
    <t>Cost</t>
  </si>
  <si>
    <t>Gross_Sales</t>
  </si>
  <si>
    <t>Profit</t>
  </si>
  <si>
    <t>India (Asia)</t>
  </si>
  <si>
    <t>Mobile Phones</t>
  </si>
  <si>
    <t xml:space="preserve">iPhOnE 14 pro  </t>
  </si>
  <si>
    <t>ORD-002</t>
  </si>
  <si>
    <t>2018-07-31</t>
  </si>
  <si>
    <t>UK (Europe)</t>
  </si>
  <si>
    <t>PCs</t>
  </si>
  <si>
    <t xml:space="preserve"> Dell INSPIRON </t>
  </si>
  <si>
    <t>ORD-003</t>
  </si>
  <si>
    <t>2019-08-06</t>
  </si>
  <si>
    <t>China (Asia)</t>
  </si>
  <si>
    <t>Tablets</t>
  </si>
  <si>
    <t xml:space="preserve">samsung GALAXY tab  </t>
  </si>
  <si>
    <t>ORD-004</t>
  </si>
  <si>
    <t>2019-07-01</t>
  </si>
  <si>
    <t>Poland (Europe)</t>
  </si>
  <si>
    <t xml:space="preserve"> SAMSUNG galaxy s23</t>
  </si>
  <si>
    <t>ORD-005</t>
  </si>
  <si>
    <t>2019-07-25</t>
  </si>
  <si>
    <t>USA (North America)</t>
  </si>
  <si>
    <t xml:space="preserve"> Microsoft SURface </t>
  </si>
  <si>
    <t>ORD-006</t>
  </si>
  <si>
    <t>2018-03-28</t>
  </si>
  <si>
    <t>Australia (Oceania)</t>
  </si>
  <si>
    <t>Accessories</t>
  </si>
  <si>
    <t xml:space="preserve"> apple AIRPODS </t>
  </si>
  <si>
    <t>ORD-007</t>
  </si>
  <si>
    <t>2018-01-31</t>
  </si>
  <si>
    <t>Laptops</t>
  </si>
  <si>
    <t xml:space="preserve"> lenovo THinkpad </t>
  </si>
  <si>
    <t>ORD-008</t>
  </si>
  <si>
    <t>2019-09-29</t>
  </si>
  <si>
    <t xml:space="preserve">oneplus 11  </t>
  </si>
  <si>
    <t>ORD-009</t>
  </si>
  <si>
    <t>2018-07-02</t>
  </si>
  <si>
    <t>Canada (North America)</t>
  </si>
  <si>
    <t xml:space="preserve">  custom pc build</t>
  </si>
  <si>
    <t>ORD-010</t>
  </si>
  <si>
    <t>2018-02-13</t>
  </si>
  <si>
    <t>ORD-011</t>
  </si>
  <si>
    <t>2018-06-18</t>
  </si>
  <si>
    <t>Germany (Europe)</t>
  </si>
  <si>
    <t>ORD-012</t>
  </si>
  <si>
    <t>2018-06-14</t>
  </si>
  <si>
    <t>France (Europe)</t>
  </si>
  <si>
    <t xml:space="preserve"> KEYchron keyboard  </t>
  </si>
  <si>
    <t>ORD-013</t>
  </si>
  <si>
    <t>2019-11-13</t>
  </si>
  <si>
    <t>ORD-014</t>
  </si>
  <si>
    <t>2018-05-17</t>
  </si>
  <si>
    <t>ORD-015</t>
  </si>
  <si>
    <t>2018-09-17</t>
  </si>
  <si>
    <t>ORD-016</t>
  </si>
  <si>
    <t>2018-10-25</t>
  </si>
  <si>
    <t>Japan (Asia)</t>
  </si>
  <si>
    <t xml:space="preserve">hp PAVILION  </t>
  </si>
  <si>
    <t>ORD-017</t>
  </si>
  <si>
    <t>2019-06-18</t>
  </si>
  <si>
    <t xml:space="preserve">  iPaD pro </t>
  </si>
  <si>
    <t>ORD-018</t>
  </si>
  <si>
    <t>2019-02-14</t>
  </si>
  <si>
    <t>ORD-019</t>
  </si>
  <si>
    <t>2018-12-09</t>
  </si>
  <si>
    <t/>
  </si>
  <si>
    <t>ORD-020</t>
  </si>
  <si>
    <t>2018-07-30</t>
  </si>
  <si>
    <t>ORD-021</t>
  </si>
  <si>
    <t>2018-09-14</t>
  </si>
  <si>
    <t>ORD-022</t>
  </si>
  <si>
    <t>2018-06-22</t>
  </si>
  <si>
    <t>ORD-023</t>
  </si>
  <si>
    <t>ORD-024</t>
  </si>
  <si>
    <t>ORD-025</t>
  </si>
  <si>
    <t>2019-09-09</t>
  </si>
  <si>
    <t>ORD-026</t>
  </si>
  <si>
    <t>2019-06-28</t>
  </si>
  <si>
    <t xml:space="preserve"> LENOVO legion </t>
  </si>
  <si>
    <t>ORD-027</t>
  </si>
  <si>
    <t>2019-11-23</t>
  </si>
  <si>
    <t>ORD-028</t>
  </si>
  <si>
    <t>2019-03-09</t>
  </si>
  <si>
    <t>ORD-029</t>
  </si>
  <si>
    <t>2019-02-20</t>
  </si>
  <si>
    <t>ORD-030</t>
  </si>
  <si>
    <t>2018-07-04</t>
  </si>
  <si>
    <t xml:space="preserve">  hP sPectre x360</t>
  </si>
  <si>
    <t>ORD-031</t>
  </si>
  <si>
    <t>2018-05-29</t>
  </si>
  <si>
    <t xml:space="preserve">  logitech MOUSE </t>
  </si>
  <si>
    <t>ORD-032</t>
  </si>
  <si>
    <t>2019-11-08</t>
  </si>
  <si>
    <t>ORD-033</t>
  </si>
  <si>
    <t>2018-03-06</t>
  </si>
  <si>
    <t>ORD-034</t>
  </si>
  <si>
    <t>2019-11-26</t>
  </si>
  <si>
    <t>ORD-035</t>
  </si>
  <si>
    <t>2018-05-30</t>
  </si>
  <si>
    <t>ORD-036</t>
  </si>
  <si>
    <t>ORD-037</t>
  </si>
  <si>
    <t>2018-04-06</t>
  </si>
  <si>
    <t>ORD-038</t>
  </si>
  <si>
    <t>2018-02-16</t>
  </si>
  <si>
    <t>ORD-039</t>
  </si>
  <si>
    <t>ORD-040</t>
  </si>
  <si>
    <t>2019-07-04</t>
  </si>
  <si>
    <t>ORD-041</t>
  </si>
  <si>
    <t>2018-10-08</t>
  </si>
  <si>
    <t>ORD-042</t>
  </si>
  <si>
    <t>2018-04-17</t>
  </si>
  <si>
    <t>ORD-043</t>
  </si>
  <si>
    <t>2019-03-22</t>
  </si>
  <si>
    <t>ORD-044</t>
  </si>
  <si>
    <t>2018-12-22</t>
  </si>
  <si>
    <t>ORD-045</t>
  </si>
  <si>
    <t>2018-06-25</t>
  </si>
  <si>
    <t xml:space="preserve">  mAcBoOk pRo 16 </t>
  </si>
  <si>
    <t>ORD-046</t>
  </si>
  <si>
    <t>2019-08-17</t>
  </si>
  <si>
    <t>ORD-047</t>
  </si>
  <si>
    <t>2018-02-14</t>
  </si>
  <si>
    <t>ORD-048</t>
  </si>
  <si>
    <t>2018-12-24</t>
  </si>
  <si>
    <t>ORD-049</t>
  </si>
  <si>
    <t>2018-06-29</t>
  </si>
  <si>
    <t>ORD-050</t>
  </si>
  <si>
    <t>2019-08-29</t>
  </si>
  <si>
    <t>ORD-051</t>
  </si>
  <si>
    <t>2019-09-07</t>
  </si>
  <si>
    <t>ORD-052</t>
  </si>
  <si>
    <t>2018-03-10</t>
  </si>
  <si>
    <t>ORD-053</t>
  </si>
  <si>
    <t>2018-11-02</t>
  </si>
  <si>
    <t>ORD-054</t>
  </si>
  <si>
    <t>2019-07-14</t>
  </si>
  <si>
    <t>ORD-055</t>
  </si>
  <si>
    <t>2018-12-30</t>
  </si>
  <si>
    <t>ORD-056</t>
  </si>
  <si>
    <t>2019-03-28</t>
  </si>
  <si>
    <t>ORD-057</t>
  </si>
  <si>
    <t>2018-04-27</t>
  </si>
  <si>
    <t>ORD-058</t>
  </si>
  <si>
    <t>2019-02-06</t>
  </si>
  <si>
    <t>ORD-059</t>
  </si>
  <si>
    <t>ORD-060</t>
  </si>
  <si>
    <t>2019-10-13</t>
  </si>
  <si>
    <t>ORD-061</t>
  </si>
  <si>
    <t>2019-06-29</t>
  </si>
  <si>
    <t>ORD-062</t>
  </si>
  <si>
    <t>2019-03-10</t>
  </si>
  <si>
    <t>ORD-063</t>
  </si>
  <si>
    <t>2019-06-13</t>
  </si>
  <si>
    <t>ORD-064</t>
  </si>
  <si>
    <t>2018-12-19</t>
  </si>
  <si>
    <t>ORD-065</t>
  </si>
  <si>
    <t>2019-01-19</t>
  </si>
  <si>
    <t>ORD-066</t>
  </si>
  <si>
    <t>2019-06-26</t>
  </si>
  <si>
    <t>ORD-067</t>
  </si>
  <si>
    <t>ORD-068</t>
  </si>
  <si>
    <t>2019-03-26</t>
  </si>
  <si>
    <t>ORD-069</t>
  </si>
  <si>
    <t>2018-03-01</t>
  </si>
  <si>
    <t>ORD-070</t>
  </si>
  <si>
    <t>2019-10-17</t>
  </si>
  <si>
    <t>ORD-071</t>
  </si>
  <si>
    <t>2018-08-28</t>
  </si>
  <si>
    <t>ORD-072</t>
  </si>
  <si>
    <t>2019-06-12</t>
  </si>
  <si>
    <t>ORD-073</t>
  </si>
  <si>
    <t>ORD-074</t>
  </si>
  <si>
    <t>ORD-075</t>
  </si>
  <si>
    <t>2019-01-26</t>
  </si>
  <si>
    <t>ORD-076</t>
  </si>
  <si>
    <t>2019-08-22</t>
  </si>
  <si>
    <t>ORD-077</t>
  </si>
  <si>
    <t>2018-04-11</t>
  </si>
  <si>
    <t>ORD-078</t>
  </si>
  <si>
    <t>2018-09-12</t>
  </si>
  <si>
    <t>ORD-079</t>
  </si>
  <si>
    <t>2018-09-07</t>
  </si>
  <si>
    <t>ORD-080</t>
  </si>
  <si>
    <t>2019-10-25</t>
  </si>
  <si>
    <t>ORD-081</t>
  </si>
  <si>
    <t>2018-05-28</t>
  </si>
  <si>
    <t>ORD-082</t>
  </si>
  <si>
    <t>2019-07-26</t>
  </si>
  <si>
    <t>ORD-083</t>
  </si>
  <si>
    <t>2018-03-04</t>
  </si>
  <si>
    <t>ORD-084</t>
  </si>
  <si>
    <t>2018-03-23</t>
  </si>
  <si>
    <t>ORD-085</t>
  </si>
  <si>
    <t>2019-07-05</t>
  </si>
  <si>
    <t>ORD-086</t>
  </si>
  <si>
    <t>ORD-087</t>
  </si>
  <si>
    <t>2019-01-03</t>
  </si>
  <si>
    <t>ORD-088</t>
  </si>
  <si>
    <t>2019-03-27</t>
  </si>
  <si>
    <t>ORD-089</t>
  </si>
  <si>
    <t>ORD-090</t>
  </si>
  <si>
    <t>2019-08-21</t>
  </si>
  <si>
    <t>ORD-091</t>
  </si>
  <si>
    <t>2018-02-15</t>
  </si>
  <si>
    <t>ORD-092</t>
  </si>
  <si>
    <t>2018-03-15</t>
  </si>
  <si>
    <t>ORD-093</t>
  </si>
  <si>
    <t>2018-08-14</t>
  </si>
  <si>
    <t>ORD-094</t>
  </si>
  <si>
    <t>2018-09-24</t>
  </si>
  <si>
    <t>ORD-095</t>
  </si>
  <si>
    <t>2018-02-07</t>
  </si>
  <si>
    <t>ORD-096</t>
  </si>
  <si>
    <t>2019-04-10</t>
  </si>
  <si>
    <t>ORD-097</t>
  </si>
  <si>
    <t>2018-09-04</t>
  </si>
  <si>
    <t>ORD-098</t>
  </si>
  <si>
    <t>2018-11-19</t>
  </si>
  <si>
    <t>ORD-099</t>
  </si>
  <si>
    <t>2018-10-29</t>
  </si>
  <si>
    <t>ORD-100</t>
  </si>
  <si>
    <t>2019-04-01</t>
  </si>
  <si>
    <t>ORD-101</t>
  </si>
  <si>
    <t>2019-11-29</t>
  </si>
  <si>
    <t>ORD-102</t>
  </si>
  <si>
    <t>ORD-103</t>
  </si>
  <si>
    <t>ORD-104</t>
  </si>
  <si>
    <t>2019-08-15</t>
  </si>
  <si>
    <t>ORD-105</t>
  </si>
  <si>
    <t>2018-12-03</t>
  </si>
  <si>
    <t>ORD-106</t>
  </si>
  <si>
    <t>2019-03-31</t>
  </si>
  <si>
    <t>ORD-107</t>
  </si>
  <si>
    <t>2018-11-05</t>
  </si>
  <si>
    <t>ORD-108</t>
  </si>
  <si>
    <t>2018-02-11</t>
  </si>
  <si>
    <t>ORD-109</t>
  </si>
  <si>
    <t>2018-11-10</t>
  </si>
  <si>
    <t>ORD-110</t>
  </si>
  <si>
    <t>2018-12-26</t>
  </si>
  <si>
    <t>ORD-111</t>
  </si>
  <si>
    <t>2019-04-09</t>
  </si>
  <si>
    <t>ORD-112</t>
  </si>
  <si>
    <t>2018-11-18</t>
  </si>
  <si>
    <t>ORD-113</t>
  </si>
  <si>
    <t>2019-09-19</t>
  </si>
  <si>
    <t>ORD-114</t>
  </si>
  <si>
    <t>2019-01-10</t>
  </si>
  <si>
    <t>ORD-115</t>
  </si>
  <si>
    <t>2018-11-06</t>
  </si>
  <si>
    <t>ORD-116</t>
  </si>
  <si>
    <t>2019-03-08</t>
  </si>
  <si>
    <t>ORD-117</t>
  </si>
  <si>
    <t>2019-07-19</t>
  </si>
  <si>
    <t>ORD-118</t>
  </si>
  <si>
    <t>2019-11-12</t>
  </si>
  <si>
    <t>ORD-119</t>
  </si>
  <si>
    <t>ORD-120</t>
  </si>
  <si>
    <t>Commission Tiers (Sales_Volume</t>
  </si>
  <si>
    <t xml:space="preserve"> Rate):</t>
  </si>
  <si>
    <t xml:space="preserve"> Manager):</t>
  </si>
  <si>
    <t>Macbook Pro 16</t>
  </si>
  <si>
    <t>Alice Smith</t>
  </si>
  <si>
    <t>Dell Xps 15</t>
  </si>
  <si>
    <t>Bob Johnson</t>
  </si>
  <si>
    <t>Lenovo Thinkpad</t>
  </si>
  <si>
    <t>Charlie Davis</t>
  </si>
  <si>
    <t>Hp Spectre X360</t>
  </si>
  <si>
    <t>Diana Prince</t>
  </si>
  <si>
    <t>Iphone 14 Pro</t>
  </si>
  <si>
    <t>Eve Adams</t>
  </si>
  <si>
    <t>Samsung Galaxy S23</t>
  </si>
  <si>
    <t>Frank Castle</t>
  </si>
  <si>
    <t>Google Pixel 7</t>
  </si>
  <si>
    <t>George King</t>
  </si>
  <si>
    <t>Oneplus 11</t>
  </si>
  <si>
    <t>Hannah Baker</t>
  </si>
  <si>
    <t>Dell Inspiron</t>
  </si>
  <si>
    <t>Ian Wright</t>
  </si>
  <si>
    <t>Hp Pavilion</t>
  </si>
  <si>
    <t>Jane Doe</t>
  </si>
  <si>
    <t>Lenovo Legion</t>
  </si>
  <si>
    <t>Kevin Hart</t>
  </si>
  <si>
    <t>Custom Pc Build</t>
  </si>
  <si>
    <t>Laura Croft</t>
  </si>
  <si>
    <t>Ipad Pro</t>
  </si>
  <si>
    <t>Mike Ross</t>
  </si>
  <si>
    <t>Samsung Galaxy Tab</t>
  </si>
  <si>
    <t>Nina Dobrev</t>
  </si>
  <si>
    <t>Microsoft Surface</t>
  </si>
  <si>
    <t>Oscar Isaac</t>
  </si>
  <si>
    <t>Logitech Mouse</t>
  </si>
  <si>
    <t>Paul Rudd</t>
  </si>
  <si>
    <t>Apple Airpods</t>
  </si>
  <si>
    <t>Quinn Fabray</t>
  </si>
  <si>
    <t>Keychron Keyboard</t>
  </si>
  <si>
    <t>Rachel Green</t>
  </si>
  <si>
    <t>Europe</t>
  </si>
  <si>
    <t>North America</t>
  </si>
  <si>
    <t>Asia</t>
  </si>
  <si>
    <t>Oceania</t>
  </si>
  <si>
    <t>Country</t>
  </si>
  <si>
    <t>Region</t>
  </si>
  <si>
    <t>UK</t>
  </si>
  <si>
    <t>Poland</t>
  </si>
  <si>
    <t>USA</t>
  </si>
  <si>
    <t>France</t>
  </si>
  <si>
    <t>India</t>
  </si>
  <si>
    <t>Canada</t>
  </si>
  <si>
    <t>China</t>
  </si>
  <si>
    <t>Australia</t>
  </si>
  <si>
    <t>Japan</t>
  </si>
  <si>
    <t>Germany</t>
  </si>
  <si>
    <t xml:space="preserve">Status </t>
  </si>
  <si>
    <t>Diamond</t>
  </si>
  <si>
    <t>Platinum</t>
  </si>
  <si>
    <t>Gold</t>
  </si>
  <si>
    <t>Silver</t>
  </si>
  <si>
    <t>Status</t>
  </si>
  <si>
    <t>-</t>
  </si>
  <si>
    <t>Min_Profit</t>
  </si>
  <si>
    <t>Max_Profit</t>
  </si>
  <si>
    <t>List_of_Regions</t>
  </si>
  <si>
    <t>List of Categories</t>
  </si>
  <si>
    <t>Units_sold</t>
  </si>
  <si>
    <t>Commision</t>
  </si>
  <si>
    <t>Project</t>
  </si>
  <si>
    <t>Manager</t>
  </si>
  <si>
    <t>Project Managers</t>
  </si>
  <si>
    <t>Payment_day</t>
  </si>
  <si>
    <t>Days_to _deliver</t>
  </si>
  <si>
    <t>Sum of Gross_Sales</t>
  </si>
  <si>
    <t>Grand Total</t>
  </si>
  <si>
    <t>Row Labels</t>
  </si>
  <si>
    <t>Year</t>
  </si>
  <si>
    <t>Monnth</t>
  </si>
  <si>
    <t>Q1</t>
  </si>
  <si>
    <t>Q2</t>
  </si>
  <si>
    <t>Q3</t>
  </si>
  <si>
    <t>Q4</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</si>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</sst>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zł&quot;_-;\-* #,##0.00\ &quot;zł&quot;_-;_-* &quot;-&quot;??\ &quot;zł&quot;_-;_-@_-"/>
  </numFmts>
  <fonts count="5" x14ac:knownFonts="1">
    <font>
      <sz val="11"/>
      <color theme="1"/>
      <name val="Calibri"/>
      <family val="2"/>
      <charset val="238"/>
      <scheme val="minor"/>
    </font>
    <font>
      <sz val="11"/>
      <color theme="1"/>
      <name val="Calibri"/>
      <family val="2"/>
      <charset val="238"/>
      <scheme val="minor"/>
    </font>
    <font>
      <b/>
      <sz val="11"/>
      <color theme="0"/>
      <name val="Calibri"/>
      <family val="2"/>
      <charset val="238"/>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9" tint="0.79998168889431442"/>
        <bgColor theme="9" tint="0.79998168889431442"/>
      </patternFill>
    </fill>
    <fill>
      <patternFill patternType="solid">
        <fgColor theme="1"/>
        <bgColor theme="1"/>
      </patternFill>
    </fill>
  </fills>
  <borders count="7">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theme="9" tint="0.39997558519241921"/>
      </left>
      <right/>
      <top style="thin">
        <color theme="9" tint="0.39997558519241921"/>
      </top>
      <bottom/>
      <diagonal/>
    </border>
    <border>
      <left style="thin">
        <color theme="9" tint="0.39997558519241921"/>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0" fillId="0" borderId="0" xfId="0" applyNumberFormat="1"/>
    <xf numFmtId="14" fontId="0" fillId="0" borderId="0" xfId="0" applyNumberFormat="1"/>
    <xf numFmtId="0" fontId="0" fillId="0" borderId="1" xfId="0" applyFont="1" applyBorder="1"/>
    <xf numFmtId="0" fontId="0" fillId="0" borderId="2" xfId="0" applyFont="1" applyBorder="1"/>
    <xf numFmtId="0" fontId="0" fillId="0" borderId="1" xfId="0" applyNumberFormat="1" applyFont="1" applyBorder="1"/>
    <xf numFmtId="14" fontId="0" fillId="0" borderId="1" xfId="0" applyNumberFormat="1" applyFont="1" applyBorder="1"/>
    <xf numFmtId="0" fontId="0" fillId="0" borderId="4" xfId="0" applyNumberFormat="1" applyFont="1" applyBorder="1"/>
    <xf numFmtId="0" fontId="0" fillId="0" borderId="3" xfId="0" applyNumberFormat="1" applyFont="1" applyBorder="1"/>
    <xf numFmtId="0" fontId="0" fillId="0" borderId="5" xfId="0" applyNumberFormat="1" applyFont="1" applyBorder="1"/>
    <xf numFmtId="0" fontId="0" fillId="0" borderId="0" xfId="0" applyNumberFormat="1" applyFont="1" applyBorder="1"/>
    <xf numFmtId="0" fontId="2" fillId="3" borderId="3" xfId="0" applyFont="1" applyFill="1" applyBorder="1"/>
    <xf numFmtId="0" fontId="0" fillId="0" borderId="0" xfId="0" applyAlignment="1">
      <alignment horizontal="center" vertical="center"/>
    </xf>
    <xf numFmtId="0" fontId="0" fillId="0" borderId="6" xfId="0" applyBorder="1"/>
    <xf numFmtId="0" fontId="0" fillId="2" borderId="6" xfId="0" applyNumberFormat="1" applyFont="1" applyFill="1" applyBorder="1"/>
    <xf numFmtId="0" fontId="0" fillId="0" borderId="6" xfId="0" applyNumberFormat="1" applyFont="1" applyBorder="1"/>
    <xf numFmtId="0" fontId="0" fillId="0" borderId="6" xfId="0" applyFill="1" applyBorder="1"/>
    <xf numFmtId="44" fontId="0" fillId="0" borderId="6" xfId="1" applyFont="1" applyBorder="1"/>
    <xf numFmtId="44" fontId="0" fillId="0" borderId="0" xfId="1" applyFont="1"/>
    <xf numFmtId="9" fontId="0" fillId="0" borderId="0" xfId="2" applyFont="1"/>
    <xf numFmtId="10" fontId="0" fillId="0" borderId="0" xfId="2" applyNumberFormat="1" applyFont="1"/>
    <xf numFmtId="14" fontId="0" fillId="0" borderId="0" xfId="1" applyNumberFormat="1" applyFont="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NumberFormat="1" applyFont="1"/>
  </cellXfs>
  <cellStyles count="3">
    <cellStyle name="Currency" xfId="1" builtinId="4"/>
    <cellStyle name="Normal" xfId="0" builtinId="0"/>
    <cellStyle name="Percent" xfId="2" builtinId="5"/>
  </cellStyles>
  <dxfs count="22">
    <dxf>
      <numFmt numFmtId="0" formatCode="General"/>
    </dxf>
    <dxf>
      <numFmt numFmtId="19" formatCode="dd/mm/yyyy"/>
    </dxf>
    <dxf>
      <numFmt numFmtId="0" formatCode="General"/>
    </dxf>
    <dxf>
      <numFmt numFmtId="0" formatCode="General"/>
    </dxf>
    <dxf>
      <numFmt numFmtId="13" formatCode="0%"/>
    </dxf>
    <dxf>
      <numFmt numFmtId="14" formatCode="0.00%"/>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theme="9" tint="0.39997558519241921"/>
        </top>
      </border>
    </dxf>
    <dxf>
      <numFmt numFmtId="0" formatCode="General"/>
    </dxf>
    <dxf>
      <numFmt numFmtId="0" formatCode="General"/>
    </dxf>
    <dxf>
      <numFmt numFmtId="0" formatCode="General"/>
    </dxf>
    <dxf>
      <border outline="0">
        <top style="thin">
          <color theme="9" tint="0.39997558519241921"/>
        </top>
      </border>
    </dxf>
    <dxf>
      <border outline="0">
        <top style="thin">
          <color theme="9" tint="0.39997558519241921"/>
        </top>
        <bottom style="thin">
          <color theme="9" tint="0.39997558519241921"/>
        </bottom>
      </border>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[Project_2.xlsx]Pivot_Table_Gross_Sales_By_Date!PivotTable2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l-PL"/>
              <a:t>Gross Sales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053729786124153E-2"/>
              <c:y val="4.33074712000205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8967136150234745E-2"/>
              <c:y val="3.918588639549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8967136150234745E-2"/>
              <c:y val="5.1550640809076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Pivot_Table_Gross_Sales_By_Date!$B$4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Lbl>
              <c:idx val="0"/>
              <c:layout>
                <c:manualLayout>
                  <c:x val="-5.8967136150234745E-2"/>
                  <c:y val="3.9185886395492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CA-46AB-A9A1-726E61002C41}"/>
                </c:ext>
              </c:extLst>
            </c:dLbl>
            <c:dLbl>
              <c:idx val="2"/>
              <c:layout>
                <c:manualLayout>
                  <c:x val="-6.1053729786124153E-2"/>
                  <c:y val="4.33074712000205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CA-46AB-A9A1-726E61002C41}"/>
                </c:ext>
              </c:extLst>
            </c:dLbl>
            <c:dLbl>
              <c:idx val="5"/>
              <c:layout>
                <c:manualLayout>
                  <c:x val="-5.8967136150234745E-2"/>
                  <c:y val="5.15506408090768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CA-46AB-A9A1-726E61002C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Pivot_Table_Gross_Sales_By_Date!$A$5:$A$14</c:f>
              <c:multiLvlStrCache>
                <c:ptCount val="7"/>
                <c:lvl>
                  <c:pt idx="0">
                    <c:v>Q1</c:v>
                  </c:pt>
                  <c:pt idx="1">
                    <c:v>Q2</c:v>
                  </c:pt>
                  <c:pt idx="2">
                    <c:v>Q3</c:v>
                  </c:pt>
                  <c:pt idx="3">
                    <c:v>Q4</c:v>
                  </c:pt>
                  <c:pt idx="4">
                    <c:v>Q1</c:v>
                  </c:pt>
                  <c:pt idx="5">
                    <c:v>Q2</c:v>
                  </c:pt>
                  <c:pt idx="6">
                    <c:v>Q3</c:v>
                  </c:pt>
                </c:lvl>
                <c:lvl>
                  <c:pt idx="0">
                    <c:v>2018</c:v>
                  </c:pt>
                  <c:pt idx="4">
                    <c:v>2019</c:v>
                  </c:pt>
                </c:lvl>
              </c:multiLvlStrCache>
            </c:multiLvlStrRef>
          </c:cat>
          <c:val>
            <c:numRef>
              <c:f>Pivot_Table_Gross_Sales_By_Date!$B$5:$B$14</c:f>
              <c:numCache>
                <c:formatCode>_("zł"* #,##0.00_);_("zł"* \(#,##0.00\);_("zł"* "-"??_);_(@_)</c:formatCode>
                <c:ptCount val="7"/>
                <c:pt idx="0">
                  <c:v>6708</c:v>
                </c:pt>
                <c:pt idx="1">
                  <c:v>3316</c:v>
                </c:pt>
                <c:pt idx="2">
                  <c:v>3267</c:v>
                </c:pt>
                <c:pt idx="3">
                  <c:v>1634</c:v>
                </c:pt>
                <c:pt idx="4">
                  <c:v>1457</c:v>
                </c:pt>
                <c:pt idx="5">
                  <c:v>2193</c:v>
                </c:pt>
                <c:pt idx="6">
                  <c:v>2010</c:v>
                </c:pt>
              </c:numCache>
            </c:numRef>
          </c:val>
          <c:smooth val="0"/>
          <c:extLst>
            <c:ext xmlns:c16="http://schemas.microsoft.com/office/drawing/2014/chart" uri="{C3380CC4-5D6E-409C-BE32-E72D297353CC}">
              <c16:uniqueId val="{00000000-03CA-46AB-A9A1-726E61002C41}"/>
            </c:ext>
          </c:extLst>
        </c:ser>
        <c:dLbls>
          <c:dLblPos val="t"/>
          <c:showLegendKey val="0"/>
          <c:showVal val="1"/>
          <c:showCatName val="0"/>
          <c:showSerName val="0"/>
          <c:showPercent val="0"/>
          <c:showBubbleSize val="0"/>
        </c:dLbls>
        <c:marker val="1"/>
        <c:smooth val="0"/>
        <c:axId val="1986656064"/>
        <c:axId val="1986661344"/>
      </c:lineChart>
      <c:catAx>
        <c:axId val="1986656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661344"/>
        <c:crosses val="autoZero"/>
        <c:auto val="1"/>
        <c:lblAlgn val="ctr"/>
        <c:lblOffset val="100"/>
        <c:noMultiLvlLbl val="0"/>
      </c:catAx>
      <c:valAx>
        <c:axId val="1986661344"/>
        <c:scaling>
          <c:orientation val="minMax"/>
        </c:scaling>
        <c:delete val="0"/>
        <c:axPos val="l"/>
        <c:majorGridlines>
          <c:spPr>
            <a:ln w="9525" cap="flat" cmpd="sng" algn="ctr">
              <a:solidFill>
                <a:schemeClr val="lt1">
                  <a:lumMod val="95000"/>
                  <a:alpha val="10000"/>
                </a:schemeClr>
              </a:solidFill>
              <a:round/>
            </a:ln>
            <a:effectLst/>
          </c:spPr>
        </c:majorGridlines>
        <c:numFmt formatCode="_(&quot;zł&quot;* #,##0.00_);_(&quot;zł&quot;* \(#,##0.00\);_(&quot;zł&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656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[Project_2.xlsx]Pivot_Table_Average_Profit_Per_!PivotTable3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Average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Pivot_Table_Average_Profit_Per_!$B$3</c:f>
              <c:strCache>
                <c:ptCount val="1"/>
                <c:pt idx="0">
                  <c:v>Total</c:v>
                </c:pt>
              </c:strCache>
            </c:strRef>
          </c:tx>
          <c:spPr>
            <a:solidFill>
              <a:schemeClr val="accent1"/>
            </a:solidFill>
            <a:ln>
              <a:noFill/>
            </a:ln>
            <a:effectLst/>
          </c:spPr>
          <c:invertIfNegative val="0"/>
          <c:cat>
            <c:strRef>
              <c:f>Pivot_Table_Average_Profit_Per_!$A$4</c:f>
              <c:strCache>
                <c:ptCount val="1"/>
                <c:pt idx="0">
                  <c:v>Laptops</c:v>
                </c:pt>
              </c:strCache>
            </c:strRef>
          </c:cat>
          <c:val>
            <c:numRef>
              <c:f>Pivot_Table_Average_Profit_Per_!$B$4</c:f>
              <c:numCache>
                <c:formatCode>_("zł"* #,##0.00_);_("zł"* \(#,##0.00\);_("zł"* "-"??_);_(@_)</c:formatCode>
                <c:ptCount val="1"/>
                <c:pt idx="0">
                  <c:v>674.86956521739125</c:v>
                </c:pt>
              </c:numCache>
            </c:numRef>
          </c:val>
          <c:extLst>
            <c:ext xmlns:c16="http://schemas.microsoft.com/office/drawing/2014/chart" uri="{C3380CC4-5D6E-409C-BE32-E72D297353CC}">
              <c16:uniqueId val="{00000000-780B-4E92-BDC7-839113BB0CF2}"/>
            </c:ext>
          </c:extLst>
        </c:ser>
        <c:dLbls>
          <c:showLegendKey val="0"/>
          <c:showVal val="0"/>
          <c:showCatName val="0"/>
          <c:showSerName val="0"/>
          <c:showPercent val="0"/>
          <c:showBubbleSize val="0"/>
        </c:dLbls>
        <c:gapWidth val="219"/>
        <c:overlap val="-27"/>
        <c:axId val="1002654735"/>
        <c:axId val="1002658575"/>
      </c:barChart>
      <c:catAx>
        <c:axId val="100265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58575"/>
        <c:crosses val="autoZero"/>
        <c:auto val="1"/>
        <c:lblAlgn val="ctr"/>
        <c:lblOffset val="100"/>
        <c:noMultiLvlLbl val="0"/>
      </c:catAx>
      <c:valAx>
        <c:axId val="1002658575"/>
        <c:scaling>
          <c:orientation val="minMax"/>
        </c:scaling>
        <c:delete val="0"/>
        <c:axPos val="l"/>
        <c:majorGridlines>
          <c:spPr>
            <a:ln w="9525" cap="flat" cmpd="sng" algn="ctr">
              <a:solidFill>
                <a:schemeClr val="tx1">
                  <a:lumMod val="15000"/>
                  <a:lumOff val="85000"/>
                </a:schemeClr>
              </a:solidFill>
              <a:round/>
            </a:ln>
            <a:effectLst/>
          </c:spPr>
        </c:majorGridlines>
        <c:numFmt formatCode="_(&quot;zł&quot;* #,##0.00_);_(&quot;zł&quot;* \(#,##0.00\);_(&quot;zł&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5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733425</xdr:colOff>
      <xdr:row>9</xdr:row>
      <xdr:rowOff>61911</xdr:rowOff>
    </xdr:from>
    <xdr:to>
      <xdr:col>12</xdr:col>
      <xdr:colOff>409575</xdr:colOff>
      <xdr:row>32</xdr:row>
      <xdr:rowOff>9525</xdr:rowOff>
    </xdr:to>
    <xdr:graphicFrame macro="">
      <xdr:nvGraphicFramePr>
        <xdr:cNvPr id="2" name="Chart 1">
          <a:extLst>
            <a:ext uri="{FF2B5EF4-FFF2-40B4-BE49-F238E27FC236}">
              <a16:creationId xmlns:a16="http://schemas.microsoft.com/office/drawing/2014/main" id="{74855A21-5FFE-42D4-1FDB-3017A3F62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xdr:row>
      <xdr:rowOff>9524</xdr:rowOff>
    </xdr:from>
    <xdr:to>
      <xdr:col>12</xdr:col>
      <xdr:colOff>466725</xdr:colOff>
      <xdr:row>9</xdr:row>
      <xdr:rowOff>19049</xdr:rowOff>
    </xdr:to>
    <mc:AlternateContent xmlns:mc="http://schemas.openxmlformats.org/markup-compatibility/2006">
      <mc:Choice xmlns:tsle="http://schemas.microsoft.com/office/drawing/2012/timeslicer" Requires="tsle">
        <xdr:graphicFrame macro="">
          <xdr:nvGraphicFramePr>
            <xdr:cNvPr id="3" name="Payment_day">
              <a:extLst>
                <a:ext uri="{FF2B5EF4-FFF2-40B4-BE49-F238E27FC236}">
                  <a16:creationId xmlns:a16="http://schemas.microsoft.com/office/drawing/2014/main" id="{B60D035D-E78E-574F-0EBF-4A336BA74FF8}"/>
                </a:ext>
              </a:extLst>
            </xdr:cNvPr>
            <xdr:cNvGraphicFramePr/>
          </xdr:nvGraphicFramePr>
          <xdr:xfrm>
            <a:off x="0" y="0"/>
            <a:ext cx="0" cy="0"/>
          </xdr:xfrm>
          <a:graphic>
            <a:graphicData uri="http://schemas.microsoft.com/office/drawing/2012/timeslicer">
              <tsle:timeslicer xmlns:tsle="http://schemas.microsoft.com/office/drawing/2012/timeslicer" name="Payment_day"/>
            </a:graphicData>
          </a:graphic>
        </xdr:graphicFrame>
      </mc:Choice>
      <mc:Fallback>
        <xdr:sp macro="" textlink="">
          <xdr:nvSpPr>
            <xdr:cNvPr id="0" name=""/>
            <xdr:cNvSpPr>
              <a:spLocks noTextEdit="1"/>
            </xdr:cNvSpPr>
          </xdr:nvSpPr>
          <xdr:spPr>
            <a:xfrm>
              <a:off x="3609975" y="200024"/>
              <a:ext cx="6553200" cy="1533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928686</xdr:colOff>
      <xdr:row>5</xdr:row>
      <xdr:rowOff>185736</xdr:rowOff>
    </xdr:from>
    <xdr:to>
      <xdr:col>12</xdr:col>
      <xdr:colOff>380999</xdr:colOff>
      <xdr:row>24</xdr:row>
      <xdr:rowOff>114299</xdr:rowOff>
    </xdr:to>
    <xdr:graphicFrame macro="">
      <xdr:nvGraphicFramePr>
        <xdr:cNvPr id="2" name="Chart 1">
          <a:extLst>
            <a:ext uri="{FF2B5EF4-FFF2-40B4-BE49-F238E27FC236}">
              <a16:creationId xmlns:a16="http://schemas.microsoft.com/office/drawing/2014/main" id="{70C493AE-573F-D191-7B92-216895EAC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971549</xdr:colOff>
      <xdr:row>2</xdr:row>
      <xdr:rowOff>19051</xdr:rowOff>
    </xdr:from>
    <xdr:to>
      <xdr:col>12</xdr:col>
      <xdr:colOff>409574</xdr:colOff>
      <xdr:row>6</xdr:row>
      <xdr:rowOff>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BFE3A67-ECE2-0350-DAD8-A56A816E96B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76649" y="400051"/>
              <a:ext cx="5781675" cy="742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cper Cichy" refreshedDate="46227.364323842594" createdVersion="8" refreshedVersion="8" minRefreshableVersion="3" recordCount="119" xr:uid="{2C15AB42-476F-4BA2-AEF8-09DBD9D97B95}">
  <cacheSource type="worksheet">
    <worksheetSource name="Sales_Data_Analysis"/>
  </cacheSource>
  <cacheFields count="18">
    <cacheField name="Order_ID" numFmtId="0">
      <sharedItems/>
    </cacheField>
    <cacheField name="Order_Date" numFmtId="0">
      <sharedItems/>
    </cacheField>
    <cacheField name="Monnth" numFmtId="0">
      <sharedItems containsSemiMixedTypes="0" containsString="0" containsNumber="1" containsInteger="1" minValue="1" maxValue="12" count="12">
        <n v="7"/>
        <n v="1"/>
        <n v="2"/>
        <n v="6"/>
        <n v="5"/>
        <n v="12"/>
        <n v="9"/>
        <n v="11"/>
        <n v="8"/>
        <n v="4"/>
        <n v="10"/>
        <n v="3"/>
      </sharedItems>
      <fieldGroup par="17"/>
    </cacheField>
    <cacheField name="Year" numFmtId="0">
      <sharedItems containsSemiMixedTypes="0" containsString="0" containsNumber="1" containsInteger="1" minValue="2018" maxValue="2019" count="2">
        <n v="2018"/>
        <n v="2019"/>
      </sharedItems>
    </cacheField>
    <cacheField name="Delivery_Date" numFmtId="14">
      <sharedItems containsSemiMixedTypes="0" containsNonDate="0" containsDate="1" containsString="0" minDate="2018-02-05T00:00:00" maxDate="2019-12-08T00:00:00"/>
    </cacheField>
    <cacheField name="Country_Region" numFmtId="0">
      <sharedItems/>
    </cacheField>
    <cacheField name="Country" numFmtId="0">
      <sharedItems/>
    </cacheField>
    <cacheField name="Region" numFmtId="0">
      <sharedItems/>
    </cacheField>
    <cacheField name="Category" numFmtId="0">
      <sharedItems count="5">
        <s v="PCs"/>
        <s v="Mobile Phones"/>
        <s v="Laptops"/>
        <s v="Accessories"/>
        <s v="Tablets"/>
      </sharedItems>
    </cacheField>
    <cacheField name="Product_Name" numFmtId="0">
      <sharedItems/>
    </cacheField>
    <cacheField name="Cost" numFmtId="44">
      <sharedItems containsSemiMixedTypes="0" containsString="0" containsNumber="1" containsInteger="1" minValue="0" maxValue="1200"/>
    </cacheField>
    <cacheField name="Gross_Sales" numFmtId="44">
      <sharedItems containsSemiMixedTypes="0" containsString="0" containsNumber="1" containsInteger="1" minValue="186" maxValue="1615"/>
    </cacheField>
    <cacheField name="Profit" numFmtId="44">
      <sharedItems containsSemiMixedTypes="0" containsString="0" containsNumber="1" containsInteger="1" minValue="57" maxValue="1489"/>
    </cacheField>
    <cacheField name="Status" numFmtId="0">
      <sharedItems/>
    </cacheField>
    <cacheField name="Commision" numFmtId="9">
      <sharedItems containsSemiMixedTypes="0" containsString="0" containsNumber="1" minValue="0" maxValue="0.1"/>
    </cacheField>
    <cacheField name="Payment_day" numFmtId="14">
      <sharedItems containsSemiMixedTypes="0" containsNonDate="0" containsDate="1" containsString="0" minDate="2018-02-28T00:00:00" maxDate="2020-01-01T00:00:00" count="22">
        <d v="2018-08-31T00:00:00"/>
        <d v="2019-08-31T00:00:00"/>
        <d v="2018-02-28T00:00:00"/>
        <d v="2018-03-31T00:00:00"/>
        <d v="2018-07-31T00:00:00"/>
        <d v="2018-06-30T00:00:00"/>
        <d v="2019-07-31T00:00:00"/>
        <d v="2019-03-31T00:00:00"/>
        <d v="2019-01-31T00:00:00"/>
        <d v="2018-10-31T00:00:00"/>
        <d v="2019-12-31T00:00:00"/>
        <d v="2019-09-30T00:00:00"/>
        <d v="2018-05-31T00:00:00"/>
        <d v="2019-11-30T00:00:00"/>
        <d v="2019-02-28T00:00:00"/>
        <d v="2019-10-31T00:00:00"/>
        <d v="2019-04-30T00:00:00"/>
        <d v="2018-04-30T00:00:00"/>
        <d v="2019-05-31T00:00:00"/>
        <d v="2018-12-31T00:00:00"/>
        <d v="2018-11-30T00:00:00"/>
        <d v="2018-09-30T00:00:00"/>
      </sharedItems>
    </cacheField>
    <cacheField name="Days_to _deliver" numFmtId="0">
      <sharedItems containsSemiMixedTypes="0" containsString="0" containsNumber="1" containsInteger="1" minValue="-441" maxValue="56"/>
    </cacheField>
    <cacheField name="Monnth2" numFmtId="0" databaseField="0">
      <fieldGroup base="2">
        <discretePr count="12">
          <x v="2"/>
          <x v="0"/>
          <x v="0"/>
          <x v="1"/>
          <x v="1"/>
          <x v="3"/>
          <x v="2"/>
          <x v="3"/>
          <x v="2"/>
          <x v="1"/>
          <x v="3"/>
          <x v="0"/>
        </discretePr>
        <groupItems count="4">
          <s v="Group1"/>
          <s v="Group2"/>
          <s v="Group3"/>
          <s v="Group4"/>
        </groupItems>
      </fieldGroup>
    </cacheField>
  </cacheFields>
  <extLst>
    <ext xmlns:x14="http://schemas.microsoft.com/office/spreadsheetml/2009/9/main" uri="{725AE2AE-9491-48be-B2B4-4EB974FC3084}">
      <x14:pivotCacheDefinition pivotCacheId="2055484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ORD-002"/>
    <s v="2018-07-31"/>
    <x v="0"/>
    <x v="0"/>
    <d v="2018-08-12T00:00:00"/>
    <s v="UK (Europe)"/>
    <s v="UK"/>
    <s v="Europe"/>
    <x v="0"/>
    <s v="Dell Inspiron"/>
    <n v="557"/>
    <n v="952"/>
    <n v="395"/>
    <s v="Gold"/>
    <n v="0.02"/>
    <x v="0"/>
    <n v="9"/>
  </r>
  <r>
    <s v="ORD-004"/>
    <s v="2019-07-01"/>
    <x v="0"/>
    <x v="1"/>
    <d v="2019-07-11T00:00:00"/>
    <s v="Poland (Europe)"/>
    <s v="Poland"/>
    <s v="Europe"/>
    <x v="1"/>
    <s v="Samsung Galaxy S23"/>
    <n v="931"/>
    <n v="1604"/>
    <n v="673"/>
    <s v="Platinum"/>
    <n v="0.1"/>
    <x v="1"/>
    <n v="9"/>
  </r>
  <r>
    <s v="ORD-007"/>
    <s v="2018-01-31"/>
    <x v="1"/>
    <x v="0"/>
    <d v="2018-02-05T00:00:00"/>
    <s v="Poland (Europe)"/>
    <s v="Poland"/>
    <s v="Europe"/>
    <x v="2"/>
    <s v="Lenovo Thinkpad"/>
    <n v="999"/>
    <n v="1579"/>
    <n v="580"/>
    <s v="Gold"/>
    <n v="0.1"/>
    <x v="2"/>
    <n v="4"/>
  </r>
  <r>
    <s v="ORD-010"/>
    <s v="2018-02-13"/>
    <x v="2"/>
    <x v="0"/>
    <d v="2018-02-22T00:00:00"/>
    <s v="USA (North America)"/>
    <s v="USA"/>
    <s v="North America"/>
    <x v="2"/>
    <s v="Dell Xps 15"/>
    <n v="382"/>
    <n v="1007"/>
    <n v="625"/>
    <s v="Platinum"/>
    <n v="0.05"/>
    <x v="3"/>
    <n v="8"/>
  </r>
  <r>
    <s v="ORD-012"/>
    <s v="2018-06-14"/>
    <x v="3"/>
    <x v="0"/>
    <d v="2018-06-28T00:00:00"/>
    <s v="France (Europe)"/>
    <s v="France"/>
    <s v="Europe"/>
    <x v="3"/>
    <s v="Keychron Keyboard"/>
    <n v="500"/>
    <n v="922"/>
    <n v="422"/>
    <s v="Gold"/>
    <n v="0.02"/>
    <x v="4"/>
    <n v="11"/>
  </r>
  <r>
    <s v="ORD-014"/>
    <s v="2018-05-17"/>
    <x v="4"/>
    <x v="0"/>
    <d v="2018-05-20T00:00:00"/>
    <s v="France (Europe)"/>
    <s v="France"/>
    <s v="Europe"/>
    <x v="3"/>
    <s v="Keychron Keyboard"/>
    <n v="904"/>
    <n v="1152"/>
    <n v="248"/>
    <s v="Silver"/>
    <n v="0.05"/>
    <x v="5"/>
    <n v="2"/>
  </r>
  <r>
    <s v="ORD-017"/>
    <s v="2019-06-18"/>
    <x v="3"/>
    <x v="1"/>
    <d v="2019-07-01T00:00:00"/>
    <s v="France (Europe)"/>
    <s v="France"/>
    <s v="Europe"/>
    <x v="4"/>
    <s v="Ipad Pro"/>
    <n v="768"/>
    <n v="1186"/>
    <n v="418"/>
    <s v="Gold"/>
    <n v="0.05"/>
    <x v="6"/>
    <n v="10"/>
  </r>
  <r>
    <s v="ORD-018"/>
    <s v="2019-02-14"/>
    <x v="2"/>
    <x v="1"/>
    <d v="2019-02-24T00:00:00"/>
    <s v="India (Asia)"/>
    <s v="India"/>
    <s v="Asia"/>
    <x v="1"/>
    <s v="Oneplus 11"/>
    <n v="416"/>
    <n v="896"/>
    <n v="480"/>
    <s v="Gold"/>
    <n v="0.02"/>
    <x v="7"/>
    <n v="7"/>
  </r>
  <r>
    <s v="ORD-019"/>
    <s v="2018-12-09"/>
    <x v="5"/>
    <x v="0"/>
    <d v="2018-12-17T00:00:00"/>
    <s v="Canada (North America)"/>
    <s v="Canada"/>
    <s v="North America"/>
    <x v="1"/>
    <s v="Oneplus 11"/>
    <n v="953"/>
    <n v="1411"/>
    <n v="458"/>
    <s v="Gold"/>
    <n v="0.05"/>
    <x v="8"/>
    <n v="6"/>
  </r>
  <r>
    <s v="ORD-021"/>
    <s v="2018-09-14"/>
    <x v="6"/>
    <x v="0"/>
    <d v="2018-09-24T00:00:00"/>
    <s v="Poland (Europe)"/>
    <s v="Poland"/>
    <s v="Europe"/>
    <x v="1"/>
    <s v="Google Pixel 7"/>
    <n v="483"/>
    <n v="825"/>
    <n v="342"/>
    <s v="Gold"/>
    <n v="0.02"/>
    <x v="9"/>
    <n v="7"/>
  </r>
  <r>
    <s v="ORD-022"/>
    <s v="2018-06-22"/>
    <x v="3"/>
    <x v="0"/>
    <d v="2018-07-01T00:00:00"/>
    <s v="France (Europe)"/>
    <s v="France"/>
    <s v="Europe"/>
    <x v="3"/>
    <s v="Apple Airpods"/>
    <n v="334"/>
    <n v="981"/>
    <n v="647"/>
    <s v="Platinum"/>
    <n v="0.02"/>
    <x v="4"/>
    <n v="6"/>
  </r>
  <r>
    <s v="ORD-023"/>
    <s v="2018-06-22"/>
    <x v="3"/>
    <x v="0"/>
    <d v="2018-07-04T00:00:00"/>
    <s v="Poland (Europe)"/>
    <s v="Poland"/>
    <s v="Europe"/>
    <x v="0"/>
    <s v="Dell Inspiron"/>
    <n v="472"/>
    <n v="785"/>
    <n v="313"/>
    <s v="Gold"/>
    <n v="0.02"/>
    <x v="4"/>
    <n v="9"/>
  </r>
  <r>
    <s v="ORD-026"/>
    <s v="2019-06-28"/>
    <x v="3"/>
    <x v="1"/>
    <d v="2019-07-01T00:00:00"/>
    <s v="China (Asia)"/>
    <s v="China"/>
    <s v="Asia"/>
    <x v="0"/>
    <s v="Lenovo Legion"/>
    <n v="148"/>
    <n v="451"/>
    <n v="303"/>
    <s v="Gold"/>
    <n v="0"/>
    <x v="6"/>
    <n v="2"/>
  </r>
  <r>
    <s v="ORD-027"/>
    <s v="2019-11-23"/>
    <x v="7"/>
    <x v="1"/>
    <d v="2019-12-03T00:00:00"/>
    <s v="India (Asia)"/>
    <s v="India"/>
    <s v="Asia"/>
    <x v="0"/>
    <s v="Custom Pc Build"/>
    <n v="766"/>
    <n v="1054"/>
    <n v="288"/>
    <s v="Silver"/>
    <n v="0.05"/>
    <x v="10"/>
    <n v="7"/>
  </r>
  <r>
    <s v="ORD-031"/>
    <s v="2018-05-29"/>
    <x v="4"/>
    <x v="0"/>
    <d v="2018-06-01T00:00:00"/>
    <s v="Canada (North America)"/>
    <s v="Canada"/>
    <s v="North America"/>
    <x v="3"/>
    <s v="Logitech Mouse"/>
    <n v="416"/>
    <n v="712"/>
    <n v="296"/>
    <s v="Silver"/>
    <n v="0.02"/>
    <x v="5"/>
    <n v="4"/>
  </r>
  <r>
    <s v="ORD-034"/>
    <s v="2019-11-26"/>
    <x v="7"/>
    <x v="1"/>
    <d v="2019-12-07T00:00:00"/>
    <s v="India (Asia)"/>
    <s v="India"/>
    <s v="Asia"/>
    <x v="1"/>
    <s v="Samsung Galaxy S23"/>
    <n v="318"/>
    <n v="867"/>
    <n v="549"/>
    <s v="Gold"/>
    <n v="0.02"/>
    <x v="10"/>
    <n v="9"/>
  </r>
  <r>
    <s v="ORD-035"/>
    <s v="2018-05-30"/>
    <x v="4"/>
    <x v="0"/>
    <d v="2018-06-09T00:00:00"/>
    <s v="USA (North America)"/>
    <s v="USA"/>
    <s v="North America"/>
    <x v="2"/>
    <s v="Hp Spectre X360"/>
    <n v="840"/>
    <n v="1233"/>
    <n v="393"/>
    <s v="Gold"/>
    <n v="0.05"/>
    <x v="5"/>
    <n v="8"/>
  </r>
  <r>
    <s v="ORD-039"/>
    <s v="2018-09-14"/>
    <x v="6"/>
    <x v="0"/>
    <d v="2018-09-23T00:00:00"/>
    <s v="Poland (Europe)"/>
    <s v="Poland"/>
    <s v="Europe"/>
    <x v="1"/>
    <s v="Google Pixel 7"/>
    <n v="106"/>
    <n v="374"/>
    <n v="268"/>
    <s v="Silver"/>
    <n v="0"/>
    <x v="9"/>
    <n v="6"/>
  </r>
  <r>
    <s v="ORD-045"/>
    <s v="2018-06-25"/>
    <x v="3"/>
    <x v="0"/>
    <d v="2018-07-07T00:00:00"/>
    <s v="Australia (Oceania)"/>
    <s v="Australia"/>
    <s v="Oceania"/>
    <x v="2"/>
    <s v="Macbook Pro 16"/>
    <n v="533"/>
    <n v="1207"/>
    <n v="674"/>
    <s v="Platinum"/>
    <n v="0.05"/>
    <x v="4"/>
    <n v="10"/>
  </r>
  <r>
    <s v="ORD-048"/>
    <s v="2018-12-24"/>
    <x v="5"/>
    <x v="0"/>
    <d v="2019-01-03T00:00:00"/>
    <s v="UK (Europe)"/>
    <s v="UK"/>
    <s v="Europe"/>
    <x v="1"/>
    <s v="Oneplus 11"/>
    <n v="149"/>
    <n v="328"/>
    <n v="179"/>
    <s v="Silver"/>
    <n v="0"/>
    <x v="8"/>
    <n v="9"/>
  </r>
  <r>
    <s v="ORD-049"/>
    <s v="2018-06-29"/>
    <x v="3"/>
    <x v="0"/>
    <d v="2018-07-09T00:00:00"/>
    <s v="USA (North America)"/>
    <s v="USA"/>
    <s v="North America"/>
    <x v="4"/>
    <s v="Ipad Pro"/>
    <n v="992"/>
    <n v="1510"/>
    <n v="518"/>
    <s v="Gold"/>
    <n v="0.1"/>
    <x v="4"/>
    <n v="7"/>
  </r>
  <r>
    <s v="ORD-050"/>
    <s v="2019-08-29"/>
    <x v="8"/>
    <x v="1"/>
    <d v="2019-09-11T00:00:00"/>
    <s v="India (Asia)"/>
    <s v="India"/>
    <s v="Asia"/>
    <x v="3"/>
    <s v="Apple Airpods"/>
    <n v="782"/>
    <n v="1527"/>
    <n v="745"/>
    <s v="Platinum"/>
    <n v="0.1"/>
    <x v="11"/>
    <n v="10"/>
  </r>
  <r>
    <s v="ORD-054"/>
    <s v="2019-07-14"/>
    <x v="0"/>
    <x v="1"/>
    <d v="2019-07-19T00:00:00"/>
    <s v="Canada (North America)"/>
    <s v="Canada"/>
    <s v="North America"/>
    <x v="3"/>
    <s v="Apple Airpods"/>
    <n v="857"/>
    <n v="1251"/>
    <n v="394"/>
    <s v="Gold"/>
    <n v="0.05"/>
    <x v="1"/>
    <n v="5"/>
  </r>
  <r>
    <s v="ORD-055"/>
    <s v="2018-12-30"/>
    <x v="5"/>
    <x v="0"/>
    <d v="2019-01-07T00:00:00"/>
    <s v="India (Asia)"/>
    <s v="India"/>
    <s v="Asia"/>
    <x v="1"/>
    <s v="Google Pixel 7"/>
    <n v="493"/>
    <n v="586"/>
    <n v="93"/>
    <s v="Silver"/>
    <n v="0.02"/>
    <x v="8"/>
    <n v="6"/>
  </r>
  <r>
    <s v="ORD-057"/>
    <s v="2018-04-27"/>
    <x v="9"/>
    <x v="0"/>
    <d v="2018-05-03T00:00:00"/>
    <s v="Japan (Asia)"/>
    <s v="Japan"/>
    <s v="Asia"/>
    <x v="4"/>
    <s v="Microsoft Surface"/>
    <n v="291"/>
    <n v="405"/>
    <n v="114"/>
    <s v="Silver"/>
    <n v="0"/>
    <x v="12"/>
    <n v="5"/>
  </r>
  <r>
    <s v="ORD-058"/>
    <s v="2019-02-06"/>
    <x v="2"/>
    <x v="1"/>
    <d v="2019-02-12T00:00:00"/>
    <s v="Germany (Europe)"/>
    <s v="Germany"/>
    <s v="Europe"/>
    <x v="0"/>
    <s v="Dell Inspiron"/>
    <n v="370"/>
    <n v="900"/>
    <n v="530"/>
    <s v="Gold"/>
    <n v="0.02"/>
    <x v="7"/>
    <n v="5"/>
  </r>
  <r>
    <s v="ORD-060"/>
    <s v="2019-10-13"/>
    <x v="10"/>
    <x v="1"/>
    <d v="2019-10-15T00:00:00"/>
    <s v="India (Asia)"/>
    <s v="India"/>
    <s v="Asia"/>
    <x v="0"/>
    <s v="Dell Inspiron"/>
    <n v="899"/>
    <n v="1170"/>
    <n v="271"/>
    <s v="Silver"/>
    <n v="0.05"/>
    <x v="13"/>
    <n v="2"/>
  </r>
  <r>
    <s v="ORD-061"/>
    <s v="2019-06-29"/>
    <x v="3"/>
    <x v="1"/>
    <d v="2019-07-01T00:00:00"/>
    <s v="Australia (Oceania)"/>
    <s v="Australia"/>
    <s v="Oceania"/>
    <x v="0"/>
    <s v="Dell Inspiron"/>
    <n v="425"/>
    <n v="864"/>
    <n v="439"/>
    <s v="Gold"/>
    <n v="0.02"/>
    <x v="6"/>
    <n v="1"/>
  </r>
  <r>
    <s v="ORD-063"/>
    <s v="2019-06-13"/>
    <x v="3"/>
    <x v="1"/>
    <d v="2019-06-26T00:00:00"/>
    <s v="USA (North America)"/>
    <s v="USA"/>
    <s v="North America"/>
    <x v="1"/>
    <s v="Iphone 14 Pro"/>
    <n v="152"/>
    <n v="937"/>
    <n v="785"/>
    <s v="Platinum"/>
    <n v="0.02"/>
    <x v="6"/>
    <n v="10"/>
  </r>
  <r>
    <s v="ORD-064"/>
    <s v="2018-12-19"/>
    <x v="5"/>
    <x v="0"/>
    <d v="2018-12-31T00:00:00"/>
    <s v="Poland (Europe)"/>
    <s v="Poland"/>
    <s v="Europe"/>
    <x v="4"/>
    <s v="Ipad Pro"/>
    <n v="460"/>
    <n v="1052"/>
    <n v="592"/>
    <s v="Gold"/>
    <n v="0.05"/>
    <x v="8"/>
    <n v="9"/>
  </r>
  <r>
    <s v="ORD-065"/>
    <s v="2019-01-19"/>
    <x v="1"/>
    <x v="1"/>
    <d v="2019-01-26T00:00:00"/>
    <s v="France (Europe)"/>
    <s v="France"/>
    <s v="Europe"/>
    <x v="0"/>
    <s v="Hp Pavilion"/>
    <n v="170"/>
    <n v="483"/>
    <n v="313"/>
    <s v="Gold"/>
    <n v="0"/>
    <x v="14"/>
    <n v="5"/>
  </r>
  <r>
    <s v="ORD-067"/>
    <s v="2019-09-29"/>
    <x v="6"/>
    <x v="1"/>
    <d v="2019-10-01T00:00:00"/>
    <s v="Poland (Europe)"/>
    <s v="Poland"/>
    <s v="Europe"/>
    <x v="4"/>
    <s v="Samsung Galaxy Tab"/>
    <n v="819"/>
    <n v="1144"/>
    <n v="325"/>
    <s v="Gold"/>
    <n v="0.05"/>
    <x v="15"/>
    <n v="2"/>
  </r>
  <r>
    <s v="ORD-070"/>
    <s v="2019-10-17"/>
    <x v="10"/>
    <x v="1"/>
    <d v="2019-10-26T00:00:00"/>
    <s v="Germany (Europe)"/>
    <s v="Germany"/>
    <s v="Europe"/>
    <x v="3"/>
    <s v="Apple Airpods"/>
    <n v="916"/>
    <n v="1411"/>
    <n v="495"/>
    <s v="Gold"/>
    <n v="0.05"/>
    <x v="13"/>
    <n v="7"/>
  </r>
  <r>
    <s v="ORD-072"/>
    <s v="2019-06-12"/>
    <x v="3"/>
    <x v="1"/>
    <d v="2019-06-20T00:00:00"/>
    <s v="Germany (Europe)"/>
    <s v="Germany"/>
    <s v="Europe"/>
    <x v="2"/>
    <s v="Dell Xps 15"/>
    <n v="699"/>
    <n v="1176"/>
    <n v="477"/>
    <s v="Gold"/>
    <n v="0.05"/>
    <x v="6"/>
    <n v="7"/>
  </r>
  <r>
    <s v="ORD-074"/>
    <s v="2019-03-09"/>
    <x v="11"/>
    <x v="1"/>
    <d v="2019-03-15T00:00:00"/>
    <s v="Canada (North America)"/>
    <s v="Canada"/>
    <s v="North America"/>
    <x v="0"/>
    <s v="Dell Inspiron"/>
    <n v="206"/>
    <n v="656"/>
    <n v="450"/>
    <s v="Gold"/>
    <n v="0.02"/>
    <x v="16"/>
    <n v="5"/>
  </r>
  <r>
    <s v="ORD-075"/>
    <s v="2019-01-26"/>
    <x v="1"/>
    <x v="1"/>
    <d v="2019-02-03T00:00:00"/>
    <s v="China (Asia)"/>
    <s v="China"/>
    <s v="Asia"/>
    <x v="0"/>
    <s v="Custom Pc Build"/>
    <n v="667"/>
    <n v="881"/>
    <n v="214"/>
    <s v="Silver"/>
    <n v="0.02"/>
    <x v="14"/>
    <n v="5"/>
  </r>
  <r>
    <s v="ORD-079"/>
    <s v="2018-09-07"/>
    <x v="6"/>
    <x v="0"/>
    <d v="2018-09-12T00:00:00"/>
    <s v="Poland (Europe)"/>
    <s v="Poland"/>
    <s v="Europe"/>
    <x v="0"/>
    <s v="Hp Pavilion"/>
    <n v="522"/>
    <n v="746"/>
    <n v="224"/>
    <s v="Silver"/>
    <n v="0.02"/>
    <x v="9"/>
    <n v="4"/>
  </r>
  <r>
    <s v="ORD-081"/>
    <s v="2018-05-28"/>
    <x v="4"/>
    <x v="0"/>
    <d v="2018-06-04T00:00:00"/>
    <s v="UK (Europe)"/>
    <s v="UK"/>
    <s v="Europe"/>
    <x v="4"/>
    <s v="Samsung Galaxy Tab"/>
    <n v="917"/>
    <n v="1409"/>
    <n v="492"/>
    <s v="Gold"/>
    <n v="0.05"/>
    <x v="5"/>
    <n v="6"/>
  </r>
  <r>
    <s v="ORD-083"/>
    <s v="2018-03-04"/>
    <x v="11"/>
    <x v="0"/>
    <d v="2018-03-13T00:00:00"/>
    <s v="UK (Europe)"/>
    <s v="UK"/>
    <s v="Europe"/>
    <x v="0"/>
    <s v="Dell Inspiron"/>
    <n v="312"/>
    <n v="1041"/>
    <n v="729"/>
    <s v="Platinum"/>
    <n v="0.05"/>
    <x v="17"/>
    <n v="7"/>
  </r>
  <r>
    <s v="ORD-088"/>
    <s v="2019-03-27"/>
    <x v="11"/>
    <x v="1"/>
    <d v="2019-03-30T00:00:00"/>
    <s v="France (Europe)"/>
    <s v="France"/>
    <s v="Europe"/>
    <x v="3"/>
    <s v="Keychron Keyboard"/>
    <n v="188"/>
    <n v="376"/>
    <n v="188"/>
    <s v="Silver"/>
    <n v="0"/>
    <x v="16"/>
    <n v="3"/>
  </r>
  <r>
    <s v="ORD-090"/>
    <s v="2019-08-21"/>
    <x v="8"/>
    <x v="1"/>
    <d v="2019-08-27T00:00:00"/>
    <s v="China (Asia)"/>
    <s v="China"/>
    <s v="Asia"/>
    <x v="3"/>
    <s v="Keychron Keyboard"/>
    <n v="452"/>
    <n v="868"/>
    <n v="416"/>
    <s v="Gold"/>
    <n v="0.02"/>
    <x v="11"/>
    <n v="5"/>
  </r>
  <r>
    <s v="ORD-092"/>
    <s v="2018-03-15"/>
    <x v="11"/>
    <x v="0"/>
    <d v="2018-03-20T00:00:00"/>
    <s v="Australia (Oceania)"/>
    <s v="Australia"/>
    <s v="Oceania"/>
    <x v="3"/>
    <s v="Keychron Keyboard"/>
    <n v="132"/>
    <n v="710"/>
    <n v="578"/>
    <s v="Gold"/>
    <n v="0.02"/>
    <x v="17"/>
    <n v="4"/>
  </r>
  <r>
    <s v="ORD-100"/>
    <s v="2019-04-01"/>
    <x v="9"/>
    <x v="1"/>
    <d v="2019-04-07T00:00:00"/>
    <s v="Poland (Europe)"/>
    <s v="Poland"/>
    <s v="Europe"/>
    <x v="2"/>
    <s v="Hp Spectre X360"/>
    <n v="237"/>
    <n v="1017"/>
    <n v="780"/>
    <s v="Platinum"/>
    <n v="0.05"/>
    <x v="18"/>
    <n v="5"/>
  </r>
  <r>
    <s v="ORD-104"/>
    <s v="2019-08-15"/>
    <x v="8"/>
    <x v="1"/>
    <d v="2019-08-20T00:00:00"/>
    <s v="USA (North America)"/>
    <s v="USA"/>
    <s v="North America"/>
    <x v="0"/>
    <s v="Dell Inspiron"/>
    <n v="725"/>
    <n v="1103"/>
    <n v="378"/>
    <s v="Gold"/>
    <n v="0.05"/>
    <x v="11"/>
    <n v="4"/>
  </r>
  <r>
    <s v="ORD-105"/>
    <s v="2018-12-03"/>
    <x v="5"/>
    <x v="0"/>
    <d v="2018-12-07T00:00:00"/>
    <s v="China (Asia)"/>
    <s v="China"/>
    <s v="Asia"/>
    <x v="0"/>
    <s v="Dell Inspiron"/>
    <n v="997"/>
    <n v="1254"/>
    <n v="257"/>
    <s v="Silver"/>
    <n v="0.05"/>
    <x v="8"/>
    <n v="5"/>
  </r>
  <r>
    <s v="ORD-106"/>
    <s v="2019-03-31"/>
    <x v="11"/>
    <x v="1"/>
    <d v="2019-04-02T00:00:00"/>
    <s v="Canada (North America)"/>
    <s v="Canada"/>
    <s v="North America"/>
    <x v="4"/>
    <s v="Microsoft Surface"/>
    <n v="392"/>
    <n v="688"/>
    <n v="296"/>
    <s v="Silver"/>
    <n v="0.02"/>
    <x v="16"/>
    <n v="2"/>
  </r>
  <r>
    <s v="ORD-110"/>
    <s v="2018-12-26"/>
    <x v="5"/>
    <x v="0"/>
    <d v="2018-12-29T00:00:00"/>
    <s v="China (Asia)"/>
    <s v="China"/>
    <s v="Asia"/>
    <x v="3"/>
    <s v="Logitech Mouse"/>
    <n v="988"/>
    <n v="1615"/>
    <n v="627"/>
    <s v="Platinum"/>
    <n v="0.1"/>
    <x v="8"/>
    <n v="3"/>
  </r>
  <r>
    <s v="ORD-112"/>
    <s v="2018-11-18"/>
    <x v="7"/>
    <x v="0"/>
    <d v="2018-11-30T00:00:00"/>
    <s v="Australia (Oceania)"/>
    <s v="Australia"/>
    <s v="Oceania"/>
    <x v="4"/>
    <s v="Samsung Galaxy Tab"/>
    <n v="655"/>
    <n v="712"/>
    <n v="57"/>
    <s v="Silver"/>
    <n v="0.02"/>
    <x v="19"/>
    <n v="10"/>
  </r>
  <r>
    <s v="ORD-113"/>
    <s v="2019-09-19"/>
    <x v="6"/>
    <x v="1"/>
    <d v="2019-09-24T00:00:00"/>
    <s v="Japan (Asia)"/>
    <s v="Japan"/>
    <s v="Asia"/>
    <x v="2"/>
    <s v="Hp Spectre X360"/>
    <n v="337"/>
    <n v="448"/>
    <n v="111"/>
    <s v="Silver"/>
    <n v="0"/>
    <x v="15"/>
    <n v="4"/>
  </r>
  <r>
    <s v="ORD-114"/>
    <s v="2019-01-10"/>
    <x v="1"/>
    <x v="1"/>
    <d v="2019-01-20T00:00:00"/>
    <s v="China (Asia)"/>
    <s v="China"/>
    <s v="Asia"/>
    <x v="4"/>
    <s v="Samsung Galaxy Tab"/>
    <n v="146"/>
    <n v="489"/>
    <n v="343"/>
    <s v="Gold"/>
    <n v="0"/>
    <x v="14"/>
    <n v="7"/>
  </r>
  <r>
    <s v="ORD-116"/>
    <s v="2019-03-08"/>
    <x v="11"/>
    <x v="1"/>
    <d v="2019-03-11T00:00:00"/>
    <s v="Canada (North America)"/>
    <s v="Canada"/>
    <s v="North America"/>
    <x v="2"/>
    <s v="Lenovo Thinkpad"/>
    <n v="123"/>
    <n v="913"/>
    <n v="790"/>
    <s v="Platinum"/>
    <n v="0.02"/>
    <x v="16"/>
    <n v="2"/>
  </r>
  <r>
    <s v="ORD-117"/>
    <s v="2019-07-19"/>
    <x v="0"/>
    <x v="1"/>
    <d v="2019-07-31T00:00:00"/>
    <s v="Australia (Oceania)"/>
    <s v="Australia"/>
    <s v="Oceania"/>
    <x v="1"/>
    <s v="Iphone 14 Pro"/>
    <n v="422"/>
    <n v="663"/>
    <n v="241"/>
    <s v="Silver"/>
    <n v="0.02"/>
    <x v="1"/>
    <n v="9"/>
  </r>
  <r>
    <s v="ORD-118"/>
    <s v="2019-11-12"/>
    <x v="7"/>
    <x v="1"/>
    <d v="2019-11-19T00:00:00"/>
    <s v="USA (North America)"/>
    <s v="USA"/>
    <s v="North America"/>
    <x v="0"/>
    <s v="Custom Pc Build"/>
    <n v="1200"/>
    <n v="1416"/>
    <n v="216"/>
    <s v="Silver"/>
    <n v="0.05"/>
    <x v="10"/>
    <n v="6"/>
  </r>
  <r>
    <s v="ORD-119"/>
    <s v="2019-11-23"/>
    <x v="7"/>
    <x v="1"/>
    <d v="2019-12-02T00:00:00"/>
    <s v="France (Europe)"/>
    <s v="France"/>
    <s v="Europe"/>
    <x v="4"/>
    <s v="Microsoft Surface"/>
    <n v="560"/>
    <n v="1448"/>
    <n v="888"/>
    <s v="Platinum"/>
    <n v="0.05"/>
    <x v="10"/>
    <n v="6"/>
  </r>
  <r>
    <s v="ORD-120"/>
    <s v="2018-02-15"/>
    <x v="2"/>
    <x v="0"/>
    <d v="2018-02-27T00:00:00"/>
    <s v="France (Europe)"/>
    <s v="France"/>
    <s v="Europe"/>
    <x v="2"/>
    <s v="Dell Xps 15"/>
    <n v="913"/>
    <n v="1351"/>
    <n v="438"/>
    <s v="Gold"/>
    <n v="0.05"/>
    <x v="3"/>
    <n v="9"/>
  </r>
  <r>
    <s v="ORD-003"/>
    <s v="2019-08-06"/>
    <x v="8"/>
    <x v="1"/>
    <d v="2018-03-01T00:00:00"/>
    <s v="China (Asia)"/>
    <s v="China"/>
    <s v="Asia"/>
    <x v="4"/>
    <s v="samsung GALAXY tab  "/>
    <n v="0"/>
    <n v="654"/>
    <n v="654"/>
    <s v="Platinum"/>
    <n v="0.02"/>
    <x v="11"/>
    <n v="-374"/>
  </r>
  <r>
    <s v="ORD-005"/>
    <s v="2019-07-25"/>
    <x v="0"/>
    <x v="1"/>
    <d v="2018-03-02T00:00:00"/>
    <s v="USA (North America)"/>
    <s v="USA"/>
    <s v="North America"/>
    <x v="4"/>
    <s v=" Microsoft SURface "/>
    <n v="0"/>
    <n v="1187"/>
    <n v="1187"/>
    <s v="Diamond"/>
    <n v="0.05"/>
    <x v="1"/>
    <n v="-365"/>
  </r>
  <r>
    <s v="ORD-006"/>
    <s v="2018-03-28"/>
    <x v="11"/>
    <x v="0"/>
    <d v="2018-03-03T00:00:00"/>
    <s v="Australia (Oceania)"/>
    <s v="Australia"/>
    <s v="Oceania"/>
    <x v="3"/>
    <s v=" apple AIRPODS "/>
    <n v="0"/>
    <n v="1241"/>
    <n v="1241"/>
    <s v="Diamond"/>
    <n v="0.05"/>
    <x v="17"/>
    <n v="-18"/>
  </r>
  <r>
    <s v="ORD-008"/>
    <s v="2019-09-29"/>
    <x v="6"/>
    <x v="1"/>
    <d v="2018-03-04T00:00:00"/>
    <s v="China (Asia)"/>
    <s v="China"/>
    <s v="Asia"/>
    <x v="1"/>
    <s v="oneplus 11  "/>
    <n v="0"/>
    <n v="360"/>
    <n v="360"/>
    <s v="Gold"/>
    <n v="0"/>
    <x v="15"/>
    <n v="-410"/>
  </r>
  <r>
    <s v="ORD-009"/>
    <s v="2018-07-02"/>
    <x v="0"/>
    <x v="0"/>
    <d v="2018-03-05T00:00:00"/>
    <s v="Canada (North America)"/>
    <s v="Canada"/>
    <s v="North America"/>
    <x v="0"/>
    <s v="  custom pc build"/>
    <n v="0"/>
    <n v="1196"/>
    <n v="1196"/>
    <s v="Diamond"/>
    <n v="0.05"/>
    <x v="0"/>
    <n v="-86"/>
  </r>
  <r>
    <s v="ORD-011"/>
    <s v="2018-06-18"/>
    <x v="3"/>
    <x v="0"/>
    <d v="2018-03-06T00:00:00"/>
    <s v="Germany (Europe)"/>
    <s v="Germany"/>
    <s v="Europe"/>
    <x v="1"/>
    <s v="iPhOnE 14 pro  "/>
    <n v="0"/>
    <n v="534"/>
    <n v="534"/>
    <s v="Gold"/>
    <n v="0.02"/>
    <x v="4"/>
    <n v="-75"/>
  </r>
  <r>
    <s v="ORD-013"/>
    <s v="2019-11-13"/>
    <x v="7"/>
    <x v="1"/>
    <d v="2018-03-07T00:00:00"/>
    <s v="Australia (Oceania)"/>
    <s v="Australia"/>
    <s v="Oceania"/>
    <x v="0"/>
    <s v=" Dell INSPIRON "/>
    <n v="0"/>
    <n v="862"/>
    <n v="862"/>
    <s v="Platinum"/>
    <n v="0.02"/>
    <x v="10"/>
    <n v="-441"/>
  </r>
  <r>
    <s v="ORD-015"/>
    <s v="2018-09-17"/>
    <x v="6"/>
    <x v="0"/>
    <d v="2018-03-08T00:00:00"/>
    <s v="China (Asia)"/>
    <s v="China"/>
    <s v="Asia"/>
    <x v="0"/>
    <s v=" Dell INSPIRON "/>
    <n v="0"/>
    <n v="1485"/>
    <n v="1485"/>
    <s v="Diamond"/>
    <n v="0.05"/>
    <x v="9"/>
    <n v="-138"/>
  </r>
  <r>
    <s v="ORD-016"/>
    <s v="2018-10-25"/>
    <x v="10"/>
    <x v="0"/>
    <d v="2018-03-09T00:00:00"/>
    <s v="Japan (Asia)"/>
    <s v="Japan"/>
    <s v="Asia"/>
    <x v="0"/>
    <s v="hp PAVILION  "/>
    <n v="0"/>
    <n v="1489"/>
    <n v="1489"/>
    <s v="Diamond"/>
    <n v="0.05"/>
    <x v="20"/>
    <n v="-165"/>
  </r>
  <r>
    <s v="ORD-020"/>
    <s v="2018-07-30"/>
    <x v="0"/>
    <x v="0"/>
    <d v="2018-03-10T00:00:00"/>
    <s v="Australia (Oceania)"/>
    <s v="Australia"/>
    <s v="Oceania"/>
    <x v="4"/>
    <s v="samsung GALAXY tab  "/>
    <n v="0"/>
    <n v="876"/>
    <n v="876"/>
    <s v="Platinum"/>
    <n v="0.02"/>
    <x v="0"/>
    <n v="-101"/>
  </r>
  <r>
    <s v="ORD-024"/>
    <s v="2018-09-14"/>
    <x v="6"/>
    <x v="0"/>
    <d v="2018-03-11T00:00:00"/>
    <s v="USA (North America)"/>
    <s v="USA"/>
    <s v="North America"/>
    <x v="3"/>
    <s v=" KEYchron keyboard  "/>
    <n v="0"/>
    <n v="878"/>
    <n v="878"/>
    <s v="Platinum"/>
    <n v="0.02"/>
    <x v="9"/>
    <n v="-135"/>
  </r>
  <r>
    <s v="ORD-025"/>
    <s v="2019-09-09"/>
    <x v="6"/>
    <x v="1"/>
    <d v="2018-03-12T00:00:00"/>
    <s v="India (Asia)"/>
    <s v="India"/>
    <s v="Asia"/>
    <x v="0"/>
    <s v=" Dell INSPIRON "/>
    <n v="0"/>
    <n v="274"/>
    <n v="274"/>
    <s v="Silver"/>
    <n v="0"/>
    <x v="15"/>
    <n v="-391"/>
  </r>
  <r>
    <s v="ORD-028"/>
    <s v="2019-03-09"/>
    <x v="11"/>
    <x v="1"/>
    <d v="2018-03-13T00:00:00"/>
    <s v="USA (North America)"/>
    <s v="USA"/>
    <s v="North America"/>
    <x v="3"/>
    <s v=" KEYchron keyboard  "/>
    <n v="0"/>
    <n v="919"/>
    <n v="919"/>
    <s v="Diamond"/>
    <n v="0.02"/>
    <x v="16"/>
    <n v="-259"/>
  </r>
  <r>
    <s v="ORD-029"/>
    <s v="2019-02-20"/>
    <x v="2"/>
    <x v="1"/>
    <d v="2018-03-14T00:00:00"/>
    <s v="Canada (North America)"/>
    <s v="Canada"/>
    <s v="North America"/>
    <x v="4"/>
    <s v=" Microsoft SURface "/>
    <n v="0"/>
    <n v="379"/>
    <n v="379"/>
    <s v="Gold"/>
    <n v="0"/>
    <x v="7"/>
    <n v="-246"/>
  </r>
  <r>
    <s v="ORD-030"/>
    <s v="2018-07-04"/>
    <x v="0"/>
    <x v="0"/>
    <d v="2018-03-15T00:00:00"/>
    <s v="India (Asia)"/>
    <s v="India"/>
    <s v="Asia"/>
    <x v="2"/>
    <s v="  hP sPectre x360"/>
    <n v="0"/>
    <n v="583"/>
    <n v="583"/>
    <s v="Gold"/>
    <n v="0.02"/>
    <x v="0"/>
    <n v="-80"/>
  </r>
  <r>
    <s v="ORD-032"/>
    <s v="2019-11-08"/>
    <x v="7"/>
    <x v="1"/>
    <d v="2018-03-16T00:00:00"/>
    <s v="China (Asia)"/>
    <s v="China"/>
    <s v="Asia"/>
    <x v="1"/>
    <s v="iPhOnE 14 pro  "/>
    <n v="0"/>
    <n v="678"/>
    <n v="678"/>
    <s v="Platinum"/>
    <n v="0.02"/>
    <x v="10"/>
    <n v="-431"/>
  </r>
  <r>
    <s v="ORD-033"/>
    <s v="2018-03-06"/>
    <x v="11"/>
    <x v="0"/>
    <d v="2018-03-17T00:00:00"/>
    <s v="China (Asia)"/>
    <s v="China"/>
    <s v="Asia"/>
    <x v="4"/>
    <s v=" Microsoft SURface "/>
    <n v="0"/>
    <n v="865"/>
    <n v="865"/>
    <s v="Platinum"/>
    <n v="0.02"/>
    <x v="17"/>
    <n v="9"/>
  </r>
  <r>
    <s v="ORD-036"/>
    <s v="2018-07-30"/>
    <x v="0"/>
    <x v="0"/>
    <d v="2018-03-18T00:00:00"/>
    <s v="USA (North America)"/>
    <s v="USA"/>
    <s v="North America"/>
    <x v="2"/>
    <s v=" lenovo THinkpad "/>
    <n v="0"/>
    <n v="1161"/>
    <n v="1161"/>
    <s v="Diamond"/>
    <n v="0.05"/>
    <x v="0"/>
    <n v="-96"/>
  </r>
  <r>
    <s v="ORD-037"/>
    <s v="2018-04-06"/>
    <x v="9"/>
    <x v="0"/>
    <d v="2018-03-19T00:00:00"/>
    <s v="China (Asia)"/>
    <s v="China"/>
    <s v="Asia"/>
    <x v="3"/>
    <s v="  logitech MOUSE "/>
    <n v="0"/>
    <n v="273"/>
    <n v="273"/>
    <s v="Silver"/>
    <n v="0"/>
    <x v="12"/>
    <n v="-15"/>
  </r>
  <r>
    <s v="ORD-038"/>
    <s v="2018-02-16"/>
    <x v="2"/>
    <x v="0"/>
    <d v="2018-03-20T00:00:00"/>
    <s v="India (Asia)"/>
    <s v="India"/>
    <s v="Asia"/>
    <x v="0"/>
    <s v="hp PAVILION  "/>
    <n v="0"/>
    <n v="351"/>
    <n v="351"/>
    <s v="Gold"/>
    <n v="0"/>
    <x v="3"/>
    <n v="23"/>
  </r>
  <r>
    <s v="ORD-040"/>
    <s v="2019-07-04"/>
    <x v="0"/>
    <x v="1"/>
    <d v="2018-03-21T00:00:00"/>
    <s v="Canada (North America)"/>
    <s v="Canada"/>
    <s v="North America"/>
    <x v="2"/>
    <s v=" lenovo THinkpad "/>
    <n v="0"/>
    <n v="266"/>
    <n v="266"/>
    <s v="Silver"/>
    <n v="0"/>
    <x v="1"/>
    <n v="-337"/>
  </r>
  <r>
    <s v="ORD-041"/>
    <s v="2018-10-08"/>
    <x v="10"/>
    <x v="0"/>
    <d v="2018-03-22T00:00:00"/>
    <s v="UK (Europe)"/>
    <s v="UK"/>
    <s v="Europe"/>
    <x v="3"/>
    <s v="  logitech MOUSE "/>
    <n v="0"/>
    <n v="1257"/>
    <n v="1257"/>
    <s v="Diamond"/>
    <n v="0.05"/>
    <x v="20"/>
    <n v="-143"/>
  </r>
  <r>
    <s v="ORD-042"/>
    <s v="2018-04-17"/>
    <x v="9"/>
    <x v="0"/>
    <d v="2018-03-23T00:00:00"/>
    <s v="France (Europe)"/>
    <s v="France"/>
    <s v="Europe"/>
    <x v="3"/>
    <s v=" KEYchron keyboard  "/>
    <n v="0"/>
    <n v="663"/>
    <n v="663"/>
    <s v="Platinum"/>
    <n v="0.02"/>
    <x v="12"/>
    <n v="-18"/>
  </r>
  <r>
    <s v="ORD-043"/>
    <s v="2019-03-22"/>
    <x v="11"/>
    <x v="1"/>
    <d v="2018-03-24T00:00:00"/>
    <s v="India (Asia)"/>
    <s v="India"/>
    <s v="Asia"/>
    <x v="1"/>
    <s v="oneplus 11  "/>
    <n v="0"/>
    <n v="630"/>
    <n v="630"/>
    <s v="Platinum"/>
    <n v="0.02"/>
    <x v="16"/>
    <n v="-260"/>
  </r>
  <r>
    <s v="ORD-044"/>
    <s v="2018-12-22"/>
    <x v="5"/>
    <x v="0"/>
    <d v="2018-03-25T00:00:00"/>
    <s v="Japan (Asia)"/>
    <s v="Japan"/>
    <s v="Asia"/>
    <x v="3"/>
    <s v=" KEYchron keyboard  "/>
    <n v="0"/>
    <n v="630"/>
    <n v="630"/>
    <s v="Platinum"/>
    <n v="0.02"/>
    <x v="8"/>
    <n v="-195"/>
  </r>
  <r>
    <s v="ORD-046"/>
    <s v="2019-08-17"/>
    <x v="8"/>
    <x v="1"/>
    <d v="2018-03-26T00:00:00"/>
    <s v="Canada (North America)"/>
    <s v="Canada"/>
    <s v="North America"/>
    <x v="2"/>
    <s v=" lenovo THinkpad "/>
    <n v="0"/>
    <n v="514"/>
    <n v="514"/>
    <s v="Gold"/>
    <n v="0.02"/>
    <x v="11"/>
    <n v="-365"/>
  </r>
  <r>
    <s v="ORD-047"/>
    <s v="2018-02-14"/>
    <x v="2"/>
    <x v="0"/>
    <d v="2018-03-27T00:00:00"/>
    <s v="Germany (Europe)"/>
    <s v="Germany"/>
    <s v="Europe"/>
    <x v="3"/>
    <s v="  logitech MOUSE "/>
    <n v="0"/>
    <n v="321"/>
    <n v="321"/>
    <s v="Gold"/>
    <n v="0"/>
    <x v="3"/>
    <n v="30"/>
  </r>
  <r>
    <s v="ORD-051"/>
    <s v="2019-09-07"/>
    <x v="6"/>
    <x v="1"/>
    <d v="2018-03-28T00:00:00"/>
    <s v="UK (Europe)"/>
    <s v="UK"/>
    <s v="Europe"/>
    <x v="0"/>
    <s v=" Dell INSPIRON "/>
    <n v="0"/>
    <n v="480"/>
    <n v="480"/>
    <s v="Gold"/>
    <n v="0"/>
    <x v="15"/>
    <n v="-378"/>
  </r>
  <r>
    <s v="ORD-052"/>
    <s v="2018-03-10"/>
    <x v="11"/>
    <x v="0"/>
    <d v="2018-03-29T00:00:00"/>
    <s v="UK (Europe)"/>
    <s v="UK"/>
    <s v="Europe"/>
    <x v="0"/>
    <s v="hp PAVILION  "/>
    <n v="0"/>
    <n v="192"/>
    <n v="192"/>
    <s v="Silver"/>
    <n v="0"/>
    <x v="17"/>
    <n v="14"/>
  </r>
  <r>
    <s v="ORD-053"/>
    <s v="2018-11-02"/>
    <x v="7"/>
    <x v="0"/>
    <d v="2018-03-30T00:00:00"/>
    <s v="China (Asia)"/>
    <s v="China"/>
    <s v="Asia"/>
    <x v="2"/>
    <s v=" lenovo THinkpad "/>
    <n v="0"/>
    <n v="703"/>
    <n v="703"/>
    <s v="Platinum"/>
    <n v="0.02"/>
    <x v="19"/>
    <n v="-156"/>
  </r>
  <r>
    <s v="ORD-056"/>
    <s v="2019-03-28"/>
    <x v="11"/>
    <x v="1"/>
    <d v="2018-03-31T00:00:00"/>
    <s v="UK (Europe)"/>
    <s v="UK"/>
    <s v="Europe"/>
    <x v="1"/>
    <s v="iPhOnE 14 pro  "/>
    <n v="0"/>
    <n v="771"/>
    <n v="771"/>
    <s v="Platinum"/>
    <n v="0.02"/>
    <x v="16"/>
    <n v="-259"/>
  </r>
  <r>
    <s v="ORD-059"/>
    <s v="2018-04-27"/>
    <x v="9"/>
    <x v="0"/>
    <d v="2018-04-01T00:00:00"/>
    <s v="UK (Europe)"/>
    <s v="UK"/>
    <s v="Europe"/>
    <x v="2"/>
    <s v="  hP sPectre x360"/>
    <n v="0"/>
    <n v="221"/>
    <n v="221"/>
    <s v="Silver"/>
    <n v="0"/>
    <x v="12"/>
    <n v="-20"/>
  </r>
  <r>
    <s v="ORD-062"/>
    <s v="2019-03-10"/>
    <x v="11"/>
    <x v="1"/>
    <d v="2018-04-02T00:00:00"/>
    <s v="UK (Europe)"/>
    <s v="UK"/>
    <s v="Europe"/>
    <x v="0"/>
    <s v="hp PAVILION  "/>
    <n v="0"/>
    <n v="186"/>
    <n v="186"/>
    <s v="Silver"/>
    <n v="0"/>
    <x v="16"/>
    <n v="-245"/>
  </r>
  <r>
    <s v="ORD-066"/>
    <s v="2019-06-26"/>
    <x v="3"/>
    <x v="1"/>
    <d v="2018-04-03T00:00:00"/>
    <s v="Japan (Asia)"/>
    <s v="Japan"/>
    <s v="Asia"/>
    <x v="4"/>
    <s v=" Microsoft SURface "/>
    <n v="0"/>
    <n v="1127"/>
    <n v="1127"/>
    <s v="Diamond"/>
    <n v="0.05"/>
    <x v="6"/>
    <n v="-322"/>
  </r>
  <r>
    <s v="ORD-068"/>
    <s v="2019-03-26"/>
    <x v="11"/>
    <x v="1"/>
    <d v="2018-04-04T00:00:00"/>
    <s v="Germany (Europe)"/>
    <s v="Germany"/>
    <s v="Europe"/>
    <x v="2"/>
    <s v="  hP sPectre x360"/>
    <n v="0"/>
    <n v="544"/>
    <n v="544"/>
    <s v="Gold"/>
    <n v="0.02"/>
    <x v="16"/>
    <n v="-255"/>
  </r>
  <r>
    <s v="ORD-069"/>
    <s v="2018-03-01"/>
    <x v="11"/>
    <x v="0"/>
    <d v="2018-04-05T00:00:00"/>
    <s v="France (Europe)"/>
    <s v="France"/>
    <s v="Europe"/>
    <x v="1"/>
    <s v=" SAMSUNG galaxy s23"/>
    <n v="0"/>
    <n v="257"/>
    <n v="257"/>
    <s v="Silver"/>
    <n v="0"/>
    <x v="17"/>
    <n v="26"/>
  </r>
  <r>
    <s v="ORD-071"/>
    <s v="2018-08-28"/>
    <x v="8"/>
    <x v="0"/>
    <d v="2018-04-06T00:00:00"/>
    <s v="USA (North America)"/>
    <s v="USA"/>
    <s v="North America"/>
    <x v="2"/>
    <s v=" lenovo THinkpad "/>
    <n v="0"/>
    <n v="385"/>
    <n v="385"/>
    <s v="Gold"/>
    <n v="0"/>
    <x v="21"/>
    <n v="-103"/>
  </r>
  <r>
    <s v="ORD-073"/>
    <s v="2019-03-09"/>
    <x v="11"/>
    <x v="1"/>
    <d v="2018-04-07T00:00:00"/>
    <s v="Poland (Europe)"/>
    <s v="Poland"/>
    <s v="Europe"/>
    <x v="4"/>
    <s v=" Microsoft SURface "/>
    <n v="0"/>
    <n v="1289"/>
    <n v="1289"/>
    <s v="Diamond"/>
    <n v="0.05"/>
    <x v="16"/>
    <n v="-240"/>
  </r>
  <r>
    <s v="ORD-076"/>
    <s v="2019-08-22"/>
    <x v="8"/>
    <x v="1"/>
    <d v="2018-04-08T00:00:00"/>
    <s v="Germany (Europe)"/>
    <s v="Germany"/>
    <s v="Europe"/>
    <x v="2"/>
    <s v=" lenovo THinkpad "/>
    <n v="0"/>
    <n v="782"/>
    <n v="782"/>
    <s v="Platinum"/>
    <n v="0.02"/>
    <x v="11"/>
    <n v="-359"/>
  </r>
  <r>
    <s v="ORD-077"/>
    <s v="2018-04-11"/>
    <x v="9"/>
    <x v="0"/>
    <d v="2018-04-09T00:00:00"/>
    <s v="India (Asia)"/>
    <s v="India"/>
    <s v="Asia"/>
    <x v="2"/>
    <s v="  hP sPectre x360"/>
    <n v="0"/>
    <n v="655"/>
    <n v="655"/>
    <s v="Platinum"/>
    <n v="0.02"/>
    <x v="12"/>
    <n v="-3"/>
  </r>
  <r>
    <s v="ORD-078"/>
    <s v="2018-09-12"/>
    <x v="6"/>
    <x v="0"/>
    <d v="2018-04-10T00:00:00"/>
    <s v="Japan (Asia)"/>
    <s v="Japan"/>
    <s v="Asia"/>
    <x v="1"/>
    <s v=" SAMSUNG galaxy s23"/>
    <n v="0"/>
    <n v="504"/>
    <n v="504"/>
    <s v="Gold"/>
    <n v="0.02"/>
    <x v="9"/>
    <n v="-112"/>
  </r>
  <r>
    <s v="ORD-080"/>
    <s v="2019-10-25"/>
    <x v="10"/>
    <x v="1"/>
    <d v="2018-04-11T00:00:00"/>
    <s v="Canada (North America)"/>
    <s v="Canada"/>
    <s v="North America"/>
    <x v="3"/>
    <s v=" KEYchron keyboard  "/>
    <n v="0"/>
    <n v="191"/>
    <n v="191"/>
    <s v="Silver"/>
    <n v="0"/>
    <x v="13"/>
    <n v="-403"/>
  </r>
  <r>
    <s v="ORD-082"/>
    <s v="2019-07-26"/>
    <x v="0"/>
    <x v="1"/>
    <d v="2018-04-12T00:00:00"/>
    <s v="Germany (Europe)"/>
    <s v="Germany"/>
    <s v="Europe"/>
    <x v="3"/>
    <s v=" KEYchron keyboard  "/>
    <n v="0"/>
    <n v="673"/>
    <n v="673"/>
    <s v="Platinum"/>
    <n v="0.02"/>
    <x v="1"/>
    <n v="-337"/>
  </r>
  <r>
    <s v="ORD-084"/>
    <s v="2018-03-23"/>
    <x v="11"/>
    <x v="0"/>
    <d v="2018-04-13T00:00:00"/>
    <s v="France (Europe)"/>
    <s v="France"/>
    <s v="Europe"/>
    <x v="1"/>
    <s v="oneplus 11  "/>
    <n v="0"/>
    <n v="795"/>
    <n v="795"/>
    <s v="Platinum"/>
    <n v="0.02"/>
    <x v="17"/>
    <n v="16"/>
  </r>
  <r>
    <s v="ORD-085"/>
    <s v="2019-07-05"/>
    <x v="0"/>
    <x v="1"/>
    <d v="2018-04-14T00:00:00"/>
    <s v="Poland (Europe)"/>
    <s v="Poland"/>
    <s v="Europe"/>
    <x v="4"/>
    <s v=" Microsoft SURface "/>
    <n v="0"/>
    <n v="737"/>
    <n v="737"/>
    <s v="Platinum"/>
    <n v="0.02"/>
    <x v="1"/>
    <n v="-320"/>
  </r>
  <r>
    <s v="ORD-086"/>
    <s v="2018-04-11"/>
    <x v="9"/>
    <x v="0"/>
    <d v="2018-04-15T00:00:00"/>
    <s v="Canada (North America)"/>
    <s v="Canada"/>
    <s v="North America"/>
    <x v="4"/>
    <s v="  iPaD pro "/>
    <n v="0"/>
    <n v="1016"/>
    <n v="1016"/>
    <s v="Diamond"/>
    <n v="0.05"/>
    <x v="12"/>
    <n v="3"/>
  </r>
  <r>
    <s v="ORD-087"/>
    <s v="2019-01-03"/>
    <x v="1"/>
    <x v="1"/>
    <d v="2018-04-16T00:00:00"/>
    <s v="USA (North America)"/>
    <s v="USA"/>
    <s v="North America"/>
    <x v="4"/>
    <s v="  iPaD pro "/>
    <n v="0"/>
    <n v="727"/>
    <n v="727"/>
    <s v="Platinum"/>
    <n v="0.02"/>
    <x v="14"/>
    <n v="-189"/>
  </r>
  <r>
    <s v="ORD-089"/>
    <s v="2018-07-30"/>
    <x v="0"/>
    <x v="0"/>
    <d v="2018-04-17T00:00:00"/>
    <s v="Poland (Europe)"/>
    <s v="Poland"/>
    <s v="Europe"/>
    <x v="2"/>
    <s v="  hP sPectre x360"/>
    <n v="0"/>
    <n v="1138"/>
    <n v="1138"/>
    <s v="Diamond"/>
    <n v="0.05"/>
    <x v="0"/>
    <n v="-75"/>
  </r>
  <r>
    <s v="ORD-091"/>
    <s v="2018-02-15"/>
    <x v="2"/>
    <x v="0"/>
    <d v="2018-04-18T00:00:00"/>
    <s v="Canada (North America)"/>
    <s v="Canada"/>
    <s v="North America"/>
    <x v="2"/>
    <s v="  hP sPectre x360"/>
    <n v="0"/>
    <n v="1318"/>
    <n v="1318"/>
    <s v="Diamond"/>
    <n v="0.05"/>
    <x v="3"/>
    <n v="45"/>
  </r>
  <r>
    <s v="ORD-093"/>
    <s v="2018-08-14"/>
    <x v="8"/>
    <x v="0"/>
    <d v="2018-04-19T00:00:00"/>
    <s v="UK (Europe)"/>
    <s v="UK"/>
    <s v="Europe"/>
    <x v="3"/>
    <s v=" KEYchron keyboard  "/>
    <n v="0"/>
    <n v="815"/>
    <n v="815"/>
    <s v="Platinum"/>
    <n v="0.02"/>
    <x v="21"/>
    <n v="-84"/>
  </r>
  <r>
    <s v="ORD-094"/>
    <s v="2018-09-24"/>
    <x v="6"/>
    <x v="0"/>
    <d v="2018-04-20T00:00:00"/>
    <s v="France (Europe)"/>
    <s v="France"/>
    <s v="Europe"/>
    <x v="1"/>
    <s v="oneplus 11  "/>
    <n v="0"/>
    <n v="288"/>
    <n v="288"/>
    <s v="Silver"/>
    <n v="0"/>
    <x v="9"/>
    <n v="-112"/>
  </r>
  <r>
    <s v="ORD-095"/>
    <s v="2018-02-07"/>
    <x v="2"/>
    <x v="0"/>
    <d v="2018-04-21T00:00:00"/>
    <s v="Poland (Europe)"/>
    <s v="Poland"/>
    <s v="Europe"/>
    <x v="1"/>
    <s v="oneplus 11  "/>
    <n v="0"/>
    <n v="780"/>
    <n v="780"/>
    <s v="Platinum"/>
    <n v="0.02"/>
    <x v="3"/>
    <n v="53"/>
  </r>
  <r>
    <s v="ORD-096"/>
    <s v="2019-04-10"/>
    <x v="9"/>
    <x v="1"/>
    <d v="2018-04-22T00:00:00"/>
    <s v="India (Asia)"/>
    <s v="India"/>
    <s v="Asia"/>
    <x v="3"/>
    <s v=" apple AIRPODS "/>
    <n v="0"/>
    <n v="1414"/>
    <n v="1414"/>
    <s v="Diamond"/>
    <n v="0.05"/>
    <x v="18"/>
    <n v="-253"/>
  </r>
  <r>
    <s v="ORD-097"/>
    <s v="2018-09-04"/>
    <x v="6"/>
    <x v="0"/>
    <d v="2018-04-23T00:00:00"/>
    <s v="Germany (Europe)"/>
    <s v="Germany"/>
    <s v="Europe"/>
    <x v="0"/>
    <s v=" LENOVO legion "/>
    <n v="0"/>
    <n v="965"/>
    <n v="965"/>
    <s v="Diamond"/>
    <n v="0.02"/>
    <x v="9"/>
    <n v="-97"/>
  </r>
  <r>
    <s v="ORD-098"/>
    <s v="2018-11-19"/>
    <x v="7"/>
    <x v="0"/>
    <d v="2018-04-24T00:00:00"/>
    <s v="UK (Europe)"/>
    <s v="UK"/>
    <s v="Europe"/>
    <x v="4"/>
    <s v=" Microsoft SURface "/>
    <n v="0"/>
    <n v="1379"/>
    <n v="1379"/>
    <s v="Diamond"/>
    <n v="0.05"/>
    <x v="19"/>
    <n v="-150"/>
  </r>
  <r>
    <s v="ORD-099"/>
    <s v="2018-10-29"/>
    <x v="10"/>
    <x v="0"/>
    <d v="2018-04-25T00:00:00"/>
    <s v="Poland (Europe)"/>
    <s v="Poland"/>
    <s v="Europe"/>
    <x v="0"/>
    <s v="  custom pc build"/>
    <n v="0"/>
    <n v="745"/>
    <n v="745"/>
    <s v="Platinum"/>
    <n v="0.02"/>
    <x v="20"/>
    <n v="-134"/>
  </r>
  <r>
    <s v="ORD-101"/>
    <s v="2019-11-29"/>
    <x v="7"/>
    <x v="1"/>
    <d v="2018-04-26T00:00:00"/>
    <s v="China (Asia)"/>
    <s v="China"/>
    <s v="Asia"/>
    <x v="4"/>
    <s v="samsung GALAXY tab  "/>
    <n v="0"/>
    <n v="1051"/>
    <n v="1051"/>
    <s v="Diamond"/>
    <n v="0.05"/>
    <x v="10"/>
    <n v="-417"/>
  </r>
  <r>
    <s v="ORD-102"/>
    <s v="2019-06-29"/>
    <x v="3"/>
    <x v="1"/>
    <d v="2018-04-27T00:00:00"/>
    <s v="Poland (Europe)"/>
    <s v="Poland"/>
    <s v="Europe"/>
    <x v="1"/>
    <s v="oneplus 11  "/>
    <n v="0"/>
    <n v="656"/>
    <n v="656"/>
    <s v="Platinum"/>
    <n v="0.02"/>
    <x v="6"/>
    <n v="-306"/>
  </r>
  <r>
    <s v="ORD-103"/>
    <s v="2018-08-28"/>
    <x v="8"/>
    <x v="0"/>
    <d v="2018-04-28T00:00:00"/>
    <s v="Japan (Asia)"/>
    <s v="Japan"/>
    <s v="Asia"/>
    <x v="1"/>
    <s v="iPhOnE 14 pro  "/>
    <n v="0"/>
    <n v="356"/>
    <n v="356"/>
    <s v="Gold"/>
    <n v="0"/>
    <x v="21"/>
    <n v="-87"/>
  </r>
  <r>
    <s v="ORD-107"/>
    <s v="2018-11-05"/>
    <x v="7"/>
    <x v="0"/>
    <d v="2018-04-29T00:00:00"/>
    <s v="Poland (Europe)"/>
    <s v="Poland"/>
    <s v="Europe"/>
    <x v="0"/>
    <s v="  custom pc build"/>
    <n v="0"/>
    <n v="904"/>
    <n v="904"/>
    <s v="Diamond"/>
    <n v="0.02"/>
    <x v="19"/>
    <n v="-136"/>
  </r>
  <r>
    <s v="ORD-108"/>
    <s v="2018-02-11"/>
    <x v="2"/>
    <x v="0"/>
    <d v="2018-04-30T00:00:00"/>
    <s v="UK (Europe)"/>
    <s v="UK"/>
    <s v="Europe"/>
    <x v="2"/>
    <s v="  hP sPectre x360"/>
    <n v="0"/>
    <n v="1453"/>
    <n v="1453"/>
    <s v="Diamond"/>
    <n v="0.05"/>
    <x v="3"/>
    <n v="56"/>
  </r>
  <r>
    <s v="ORD-109"/>
    <s v="2018-11-10"/>
    <x v="7"/>
    <x v="0"/>
    <d v="2018-05-01T00:00:00"/>
    <s v="France (Europe)"/>
    <s v="France"/>
    <s v="Europe"/>
    <x v="3"/>
    <s v="  logitech MOUSE "/>
    <n v="0"/>
    <n v="512"/>
    <n v="512"/>
    <s v="Gold"/>
    <n v="0.02"/>
    <x v="19"/>
    <n v="-139"/>
  </r>
  <r>
    <s v="ORD-111"/>
    <s v="2019-04-09"/>
    <x v="9"/>
    <x v="1"/>
    <d v="2018-05-02T00:00:00"/>
    <s v="France (Europe)"/>
    <s v="France"/>
    <s v="Europe"/>
    <x v="1"/>
    <s v="oneplus 11  "/>
    <n v="0"/>
    <n v="533"/>
    <n v="533"/>
    <s v="Gold"/>
    <n v="0.02"/>
    <x v="18"/>
    <n v="-245"/>
  </r>
  <r>
    <s v="ORD-115"/>
    <s v="2018-11-06"/>
    <x v="7"/>
    <x v="0"/>
    <d v="2018-05-03T00:00:00"/>
    <s v="India (Asia)"/>
    <s v="India"/>
    <s v="Asia"/>
    <x v="2"/>
    <s v="  mAcBoOk pRo 16 "/>
    <n v="0"/>
    <n v="931"/>
    <n v="931"/>
    <s v="Diamond"/>
    <n v="0.02"/>
    <x v="19"/>
    <n v="-1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156055-2628-4CDC-BAFB-F13CE86C5C1D}" name="PivotTable2" cacheId="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B14" firstHeaderRow="1" firstDataRow="1" firstDataCol="1"/>
  <pivotFields count="18">
    <pivotField showAll="0"/>
    <pivotField showAll="0"/>
    <pivotField axis="axisRow" showAll="0">
      <items count="13">
        <item x="1"/>
        <item x="2"/>
        <item x="11"/>
        <item x="9"/>
        <item x="4"/>
        <item x="3"/>
        <item x="0"/>
        <item x="8"/>
        <item x="6"/>
        <item x="10"/>
        <item x="7"/>
        <item x="5"/>
        <item t="default"/>
      </items>
    </pivotField>
    <pivotField axis="axisRow" showAll="0">
      <items count="3">
        <item x="0"/>
        <item x="1"/>
        <item t="default"/>
      </items>
    </pivotField>
    <pivotField numFmtId="14" showAll="0"/>
    <pivotField showAll="0"/>
    <pivotField showAll="0"/>
    <pivotField showAll="0"/>
    <pivotField showAll="0">
      <items count="6">
        <item h="1" x="3"/>
        <item x="2"/>
        <item h="1" x="1"/>
        <item h="1" x="0"/>
        <item h="1" x="4"/>
        <item t="default"/>
      </items>
    </pivotField>
    <pivotField showAll="0"/>
    <pivotField numFmtId="44" showAll="0"/>
    <pivotField dataField="1" numFmtId="44" showAll="0"/>
    <pivotField numFmtId="44" showAll="0"/>
    <pivotField showAll="0"/>
    <pivotField numFmtId="9" showAll="0"/>
    <pivotField numFmtId="14" showAll="0">
      <items count="23">
        <item x="2"/>
        <item x="3"/>
        <item x="17"/>
        <item x="12"/>
        <item x="5"/>
        <item x="4"/>
        <item x="0"/>
        <item x="21"/>
        <item x="9"/>
        <item x="20"/>
        <item x="19"/>
        <item x="8"/>
        <item x="14"/>
        <item x="7"/>
        <item x="16"/>
        <item x="18"/>
        <item x="6"/>
        <item x="1"/>
        <item x="11"/>
        <item x="15"/>
        <item x="13"/>
        <item x="10"/>
        <item t="default"/>
      </items>
    </pivotField>
    <pivotField showAll="0"/>
    <pivotField axis="axisRow" showAll="0">
      <items count="5">
        <item n="Q1" sd="0" x="0"/>
        <item n="Q2" sd="0" x="1"/>
        <item n="Q3" sd="0" x="2"/>
        <item n="Q4" sd="0" x="3"/>
        <item t="default"/>
      </items>
    </pivotField>
  </pivotFields>
  <rowFields count="3">
    <field x="3"/>
    <field x="17"/>
    <field x="2"/>
  </rowFields>
  <rowItems count="10">
    <i>
      <x/>
    </i>
    <i r="1">
      <x/>
    </i>
    <i r="1">
      <x v="1"/>
    </i>
    <i r="1">
      <x v="2"/>
    </i>
    <i r="1">
      <x v="3"/>
    </i>
    <i>
      <x v="1"/>
    </i>
    <i r="1">
      <x/>
    </i>
    <i r="1">
      <x v="1"/>
    </i>
    <i r="1">
      <x v="2"/>
    </i>
    <i t="grand">
      <x/>
    </i>
  </rowItems>
  <colItems count="1">
    <i/>
  </colItems>
  <dataFields count="1">
    <dataField name="Sum of Gross_Sales" fld="11" baseField="0" baseItem="0" numFmtId="4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0"/>
          </reference>
          <reference field="17" count="1" selected="0">
            <x v="2"/>
          </reference>
        </references>
      </pivotArea>
    </chartFormat>
    <chartFormat chart="0" format="2">
      <pivotArea type="data" outline="0" fieldPosition="0">
        <references count="3">
          <reference field="4294967294" count="1" selected="0">
            <x v="0"/>
          </reference>
          <reference field="3" count="1" selected="0">
            <x v="0"/>
          </reference>
          <reference field="17" count="1" selected="0">
            <x v="0"/>
          </reference>
        </references>
      </pivotArea>
    </chartFormat>
    <chartFormat chart="0" format="3">
      <pivotArea type="data" outline="0" fieldPosition="0">
        <references count="3">
          <reference field="4294967294" count="1" selected="0">
            <x v="0"/>
          </reference>
          <reference field="3"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BCED68-E49B-41E1-BE4B-D0A0C703DE92}" name="PivotTable3" cacheId="4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A3:B4" firstHeaderRow="1" firstDataRow="1" firstDataCol="1"/>
  <pivotFields count="18">
    <pivotField showAll="0"/>
    <pivotField showAll="0"/>
    <pivotField showAll="0">
      <items count="13">
        <item x="1"/>
        <item x="2"/>
        <item x="11"/>
        <item x="9"/>
        <item x="4"/>
        <item x="3"/>
        <item x="0"/>
        <item x="8"/>
        <item x="6"/>
        <item x="10"/>
        <item x="7"/>
        <item x="5"/>
        <item t="default"/>
      </items>
    </pivotField>
    <pivotField showAll="0"/>
    <pivotField numFmtId="14" showAll="0"/>
    <pivotField showAll="0"/>
    <pivotField showAll="0"/>
    <pivotField showAll="0"/>
    <pivotField axis="axisRow" showAll="0">
      <items count="6">
        <item h="1" x="3"/>
        <item x="2"/>
        <item h="1" x="1"/>
        <item h="1" x="0"/>
        <item h="1" x="4"/>
        <item t="default"/>
      </items>
    </pivotField>
    <pivotField showAll="0"/>
    <pivotField numFmtId="44" showAll="0"/>
    <pivotField numFmtId="44" showAll="0"/>
    <pivotField dataField="1" numFmtId="44" showAll="0"/>
    <pivotField showAll="0"/>
    <pivotField numFmtId="9" showAll="0"/>
    <pivotField numFmtId="14" showAll="0">
      <items count="23">
        <item x="2"/>
        <item x="3"/>
        <item x="17"/>
        <item x="12"/>
        <item x="5"/>
        <item x="4"/>
        <item x="0"/>
        <item x="21"/>
        <item x="9"/>
        <item x="20"/>
        <item x="19"/>
        <item x="8"/>
        <item x="14"/>
        <item x="7"/>
        <item x="16"/>
        <item x="18"/>
        <item x="6"/>
        <item x="1"/>
        <item x="11"/>
        <item x="15"/>
        <item x="13"/>
        <item x="10"/>
        <item t="default"/>
      </items>
    </pivotField>
    <pivotField showAll="0"/>
    <pivotField showAll="0" defaultSubtotal="0">
      <items count="4">
        <item x="0"/>
        <item x="1"/>
        <item x="2"/>
        <item x="3"/>
      </items>
    </pivotField>
  </pivotFields>
  <rowFields count="1">
    <field x="8"/>
  </rowFields>
  <rowItems count="1">
    <i>
      <x v="1"/>
    </i>
  </rowItems>
  <colItems count="1">
    <i/>
  </colItems>
  <dataFields count="1">
    <dataField name="Average of Profit" fld="12" subtotal="average"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93F936-F008-495D-86CF-BFE5547BAA4E}" autoFormatId="16" applyNumberFormats="0" applyBorderFormats="0" applyFontFormats="0" applyPatternFormats="0" applyAlignmentFormats="0" applyWidthHeightFormats="0">
  <queryTableRefresh nextId="19" unboundColumnsRight="4">
    <queryTableFields count="17">
      <queryTableField id="1" name="Order_ID" tableColumnId="1"/>
      <queryTableField id="2" name="Order_Date" tableColumnId="2"/>
      <queryTableField id="18" dataBound="0" tableColumnId="18"/>
      <queryTableField id="17" dataBound="0" tableColumnId="17"/>
      <queryTableField id="3" name="Delivery_Date" tableColumnId="3"/>
      <queryTableField id="4" name="Country_Region" tableColumnId="4"/>
      <queryTableField id="12" dataBound="0" tableColumnId="12"/>
      <queryTableField id="11" dataBound="0" tableColumnId="11"/>
      <queryTableField id="5" name="Category" tableColumnId="5"/>
      <queryTableField id="6" name="Product_Name" tableColumnId="6"/>
      <queryTableField id="7" name="Cost" tableColumnId="7"/>
      <queryTableField id="8" name="Gross_Sales" tableColumnId="8"/>
      <queryTableField id="9" name="Profit" tableColumnId="9"/>
      <queryTableField id="13" dataBound="0" tableColumnId="13"/>
      <queryTableField id="14" dataBound="0"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01ADAE-DFC5-4FF8-B1C8-96AB03128CE7}" sourceName="Category">
  <pivotTables>
    <pivotTable tabId="6" name="PivotTable3"/>
    <pivotTable tabId="5" name="PivotTable2"/>
  </pivotTables>
  <data>
    <tabular pivotCacheId="2055484895">
      <items count="5">
        <i x="3"/>
        <i x="2" s="1"/>
        <i x="1"/>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66E841-75D2-4D5C-822F-9810F126A0D7}" cache="Slicer_Category" caption="Category" columnCount="3"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6A7E49-0043-4FC1-B25C-9A3FB32E56D7}" name="Sales_Data_Analysis" displayName="Sales_Data_Analysis" ref="A1:Q120" tableType="queryTable" totalsRowShown="0">
  <autoFilter ref="A1:Q120" xr:uid="{916A7E49-0043-4FC1-B25C-9A3FB32E56D7}"/>
  <tableColumns count="17">
    <tableColumn id="1" xr3:uid="{18437736-42E7-407F-B1AE-0CA289AB0AAD}" uniqueName="1" name="Order_ID" queryTableFieldId="1" dataDxfId="21"/>
    <tableColumn id="2" xr3:uid="{0F2953B6-F4C9-4A32-B480-8C61A2AD4A73}" uniqueName="2" name="Order_Date" queryTableFieldId="2" dataDxfId="20"/>
    <tableColumn id="18" xr3:uid="{38E481F5-78C5-4874-A513-1880C1187ECF}" uniqueName="18" name="Monnth" queryTableFieldId="18" dataDxfId="2">
      <calculatedColumnFormula>MONTH(Sales_Data_Analysis[[#This Row],[Order_Date]])</calculatedColumnFormula>
    </tableColumn>
    <tableColumn id="17" xr3:uid="{DD11A20F-FAE8-4706-B5F9-D3D03D9F3036}" uniqueName="17" name="Year" queryTableFieldId="17" dataDxfId="3">
      <calculatedColumnFormula>YEAR(Sales_Data_Analysis[[#This Row],[Order_Date]])</calculatedColumnFormula>
    </tableColumn>
    <tableColumn id="3" xr3:uid="{3C59B3C1-706A-446B-A792-F55F97B4BE8A}" uniqueName="3" name="Delivery_Date" queryTableFieldId="3" dataDxfId="19"/>
    <tableColumn id="4" xr3:uid="{2E2DF5EE-1C13-4340-973B-B92EAA130E30}" uniqueName="4" name="Country_Region" queryTableFieldId="4" dataDxfId="18"/>
    <tableColumn id="12" xr3:uid="{DA9CDF7D-73FB-40BA-8722-E182B6D92727}" uniqueName="12" name="Country" queryTableFieldId="12" dataDxfId="12"/>
    <tableColumn id="11" xr3:uid="{8F462FAC-AA77-40B4-812C-469D87F351E9}" uniqueName="11" name="Region" queryTableFieldId="11" dataDxfId="13"/>
    <tableColumn id="5" xr3:uid="{F2AA7C8C-A3E2-480D-B654-6069B1176871}" uniqueName="5" name="Category" queryTableFieldId="5" dataDxfId="17"/>
    <tableColumn id="6" xr3:uid="{FB768722-DD5C-4392-97A3-F0C5460A7D92}" uniqueName="6" name="Product_Name" queryTableFieldId="6" dataDxfId="14"/>
    <tableColumn id="7" xr3:uid="{90D38376-5F37-440F-9F96-68C961D54069}" uniqueName="7" name="Cost" queryTableFieldId="7" dataCellStyle="Currency"/>
    <tableColumn id="8" xr3:uid="{E01474A7-2D9F-4743-8811-5125803A971C}" uniqueName="8" name="Gross_Sales" queryTableFieldId="8" dataCellStyle="Currency"/>
    <tableColumn id="9" xr3:uid="{BD4AD4B2-DF1D-435A-9221-79078FA5FB26}" uniqueName="9" name="Profit" queryTableFieldId="9" dataCellStyle="Currency"/>
    <tableColumn id="13" xr3:uid="{51017B52-32E1-4803-92B1-512C16408509}" uniqueName="13" name="Status" queryTableFieldId="13" dataDxfId="6">
      <calculatedColumnFormula>IF(Sales_Data_Analysis[[#This Row],[Profit]]&lt;=Reference_Tables!$F$7,Reference_Tables!$G$7,IF(Sales_Data_Analysis[[#This Row],[Profit]]&lt;=Reference_Tables!$F$6,Reference_Tables!$G$6,IF(Sales_Data_Analysis[[#This Row],[Profit]]&lt;=Reference_Tables!$F$5,Reference_Tables!$G$5,Reference_Tables!$G$4)))</calculatedColumnFormula>
    </tableColumn>
    <tableColumn id="14" xr3:uid="{B28A74D2-92C7-4A0C-B307-0A122268357B}" uniqueName="14" name="Commision" queryTableFieldId="14" dataDxfId="4" dataCellStyle="Currency">
      <calculatedColumnFormula>VLOOKUP(Sales_Data_Analysis[[#This Row],[Gross_Sales]],Table3[],2,TRUE)</calculatedColumnFormula>
    </tableColumn>
    <tableColumn id="15" xr3:uid="{54FB51B5-39BD-4A39-AD15-BD01E33E1CE5}" uniqueName="15" name="Payment_day" queryTableFieldId="15" dataDxfId="1" dataCellStyle="Currency">
      <calculatedColumnFormula>EOMONTH(Sales_Data_Analysis[[#This Row],[Order_Date]],1)</calculatedColumnFormula>
    </tableColumn>
    <tableColumn id="16" xr3:uid="{5BE43A95-924D-40E0-83EC-A8254FCE3CE7}" uniqueName="16" name="Days_to _deliver" queryTableFieldId="16" dataDxfId="0">
      <calculatedColumnFormula>NETWORKDAYS(Sales_Data_Analysis[[#This Row],[Order_Date]],Sales_Data_Analysis[[#This Row],[Delivery_Date]])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2A8B30-42C4-411D-903B-8407A45FE92B}" name="Table3" displayName="Table3" ref="A3:B7" totalsRowShown="0" tableBorderDxfId="16">
  <autoFilter ref="A3:B7" xr:uid="{622A8B30-42C4-411D-903B-8407A45FE92B}"/>
  <tableColumns count="2">
    <tableColumn id="1" xr3:uid="{AD360DFA-DD87-4C92-8546-5A538EE204AC}" name="Commission Tiers (Sales_Volume" dataCellStyle="Currency"/>
    <tableColumn id="2" xr3:uid="{1A374258-D965-4CE3-962D-D12F19A95686}" name=" Rate):" dataDxfId="5" dataCellStyle="Percent"/>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B538AE-95F2-4411-A508-BDBCA0CE8AAD}" name="Table4" displayName="Table4" ref="A9:B27" totalsRowShown="0" tableBorderDxfId="15">
  <autoFilter ref="A9:B27" xr:uid="{A6B538AE-95F2-4411-A508-BDBCA0CE8AAD}"/>
  <tableColumns count="2">
    <tableColumn id="1" xr3:uid="{0DDC2EAF-13DE-4155-A840-2356525220C3}" name="Project Managers"/>
    <tableColumn id="2" xr3:uid="{228391A8-CD34-4B4F-AE98-F1DB40200D49}" name=" Manager):"/>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F92D75-9027-4D0E-9F65-70BA8601FADA}" name="Table6" displayName="Table6" ref="E3:G7" totalsRowShown="0" dataDxfId="7" tableBorderDxfId="11">
  <autoFilter ref="E3:G7" xr:uid="{79F92D75-9027-4D0E-9F65-70BA8601FADA}"/>
  <tableColumns count="3">
    <tableColumn id="1" xr3:uid="{A55B9A42-45C3-419D-B160-575ACDEECF18}" name="Min_Profit" dataDxfId="10"/>
    <tableColumn id="2" xr3:uid="{08F2AC2F-25D0-427A-AF9E-AE85D7C4A9F7}" name="Max_Profit" dataDxfId="9"/>
    <tableColumn id="3" xr3:uid="{FE16D883-AA69-41E0-A3D8-9309CFA4AD58}" name="Status " dataDxfId="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yment_day" xr10:uid="{BF2FA87A-8E56-458B-B91C-95BDDE762E8D}" sourceName="Payment_day">
  <pivotTables>
    <pivotTable tabId="5" name="PivotTable2"/>
    <pivotTable tabId="6" name="PivotTable3"/>
  </pivotTables>
  <state minimalRefreshVersion="6" lastRefreshVersion="6" pivotCacheId="2055484895"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yment_day" xr10:uid="{891A52E4-7B62-45C0-8742-010E3FE02C0C}" cache="NativeTimeline_Payment_day" caption="Payment_day" showHeader="0" level="2" selectionLevel="2" scrollPosition="2018-01-01T00:00:00" style="TimeSlicerStyleDark3"/>
</timeline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0BBA-D4D0-4F0A-BA69-4190452AC531}">
  <sheetPr>
    <tabColor theme="5" tint="-0.249977111117893"/>
  </sheetPr>
  <dimension ref="A1:T175"/>
  <sheetViews>
    <sheetView tabSelected="1" zoomScale="85" zoomScaleNormal="85" workbookViewId="0">
      <selection activeCell="S18" sqref="S18"/>
    </sheetView>
  </sheetViews>
  <sheetFormatPr defaultRowHeight="15" x14ac:dyDescent="0.25"/>
  <cols>
    <col min="1" max="1" width="11.28515625" bestFit="1" customWidth="1"/>
    <col min="2" max="2" width="13.5703125" bestFit="1" customWidth="1"/>
    <col min="3" max="3" width="10.42578125" bestFit="1" customWidth="1"/>
    <col min="4" max="4" width="7.5703125" bestFit="1" customWidth="1"/>
    <col min="5" max="5" width="16" bestFit="1" customWidth="1"/>
    <col min="6" max="6" width="22.5703125" bestFit="1" customWidth="1"/>
    <col min="7" max="8" width="22.5703125" customWidth="1"/>
    <col min="9" max="9" width="14.42578125" bestFit="1" customWidth="1"/>
    <col min="10" max="10" width="20.42578125" bestFit="1" customWidth="1"/>
    <col min="11" max="11" width="11.28515625" style="18" bestFit="1" customWidth="1"/>
    <col min="12" max="12" width="13.85546875" style="18" bestFit="1" customWidth="1"/>
    <col min="13" max="13" width="11.28515625" bestFit="1" customWidth="1"/>
    <col min="14" max="14" width="12.42578125" customWidth="1"/>
    <col min="15" max="15" width="13.28515625" bestFit="1" customWidth="1"/>
    <col min="16" max="16" width="15.42578125" style="2" bestFit="1" customWidth="1"/>
    <col min="17" max="17" width="18.140625" bestFit="1" customWidth="1"/>
    <col min="18" max="18" width="20.42578125" customWidth="1"/>
    <col min="19" max="19" width="21.140625" customWidth="1"/>
    <col min="20" max="20" width="13.42578125" bestFit="1" customWidth="1"/>
  </cols>
  <sheetData>
    <row r="1" spans="1:20" x14ac:dyDescent="0.25">
      <c r="A1" t="s">
        <v>0</v>
      </c>
      <c r="B1" t="s">
        <v>1</v>
      </c>
      <c r="C1" t="s">
        <v>342</v>
      </c>
      <c r="D1" t="s">
        <v>341</v>
      </c>
      <c r="E1" t="s">
        <v>2</v>
      </c>
      <c r="F1" t="s">
        <v>3</v>
      </c>
      <c r="G1" t="s">
        <v>308</v>
      </c>
      <c r="H1" t="s">
        <v>309</v>
      </c>
      <c r="I1" t="s">
        <v>4</v>
      </c>
      <c r="J1" t="s">
        <v>5</v>
      </c>
      <c r="K1" s="18" t="s">
        <v>6</v>
      </c>
      <c r="L1" s="18" t="s">
        <v>7</v>
      </c>
      <c r="M1" t="s">
        <v>8</v>
      </c>
      <c r="N1" t="s">
        <v>325</v>
      </c>
      <c r="O1" t="s">
        <v>332</v>
      </c>
      <c r="P1" s="2" t="s">
        <v>336</v>
      </c>
      <c r="Q1" t="s">
        <v>337</v>
      </c>
    </row>
    <row r="2" spans="1:20" x14ac:dyDescent="0.25">
      <c r="A2" s="1" t="s">
        <v>12</v>
      </c>
      <c r="B2" s="1" t="s">
        <v>13</v>
      </c>
      <c r="C2" s="1">
        <f>MONTH(Sales_Data_Analysis[[#This Row],[Order_Date]])</f>
        <v>7</v>
      </c>
      <c r="D2" s="1">
        <f>YEAR(Sales_Data_Analysis[[#This Row],[Order_Date]])</f>
        <v>2018</v>
      </c>
      <c r="E2" s="2">
        <v>43324</v>
      </c>
      <c r="F2" s="1" t="s">
        <v>14</v>
      </c>
      <c r="G2" s="1" t="s">
        <v>310</v>
      </c>
      <c r="H2" s="1" t="s">
        <v>304</v>
      </c>
      <c r="I2" s="1" t="s">
        <v>15</v>
      </c>
      <c r="J2" s="1" t="s">
        <v>284</v>
      </c>
      <c r="K2" s="18">
        <v>557</v>
      </c>
      <c r="L2" s="18">
        <v>952</v>
      </c>
      <c r="M2" s="18">
        <f>IFERROR(Sales_Data_Analysis[[#This Row],[Gross_Sales]]-Sales_Data_Analysis[[#This Row],[Cost]],"No data")</f>
        <v>395</v>
      </c>
      <c r="N2" t="str">
        <f>IF(Sales_Data_Analysis[[#This Row],[Profit]]&lt;=Reference_Tables!$F$7,Reference_Tables!$G$7,IF(Sales_Data_Analysis[[#This Row],[Profit]]&lt;=Reference_Tables!$F$6,Reference_Tables!$G$6,IF(Sales_Data_Analysis[[#This Row],[Profit]]&lt;=Reference_Tables!$F$5,Reference_Tables!$G$5,Reference_Tables!$G$4)))</f>
        <v>Gold</v>
      </c>
      <c r="O2" s="19">
        <f>VLOOKUP(Sales_Data_Analysis[[#This Row],[Gross_Sales]],Table3[],2,TRUE)</f>
        <v>0.02</v>
      </c>
      <c r="P2" s="21">
        <f>EOMONTH(Sales_Data_Analysis[[#This Row],[Order_Date]],1)</f>
        <v>43343</v>
      </c>
      <c r="Q2" s="1">
        <f>NETWORKDAYS(Sales_Data_Analysis[[#This Row],[Order_Date]],Sales_Data_Analysis[[#This Row],[Delivery_Date]])</f>
        <v>9</v>
      </c>
      <c r="S2" s="13" t="s">
        <v>333</v>
      </c>
      <c r="T2" s="13" t="s">
        <v>334</v>
      </c>
    </row>
    <row r="3" spans="1:20" x14ac:dyDescent="0.25">
      <c r="A3" s="1" t="s">
        <v>22</v>
      </c>
      <c r="B3" s="1" t="s">
        <v>23</v>
      </c>
      <c r="C3" s="1">
        <f>MONTH(Sales_Data_Analysis[[#This Row],[Order_Date]])</f>
        <v>7</v>
      </c>
      <c r="D3" s="1">
        <f>YEAR(Sales_Data_Analysis[[#This Row],[Order_Date]])</f>
        <v>2019</v>
      </c>
      <c r="E3" s="2">
        <v>43657</v>
      </c>
      <c r="F3" s="1" t="s">
        <v>24</v>
      </c>
      <c r="G3" s="1" t="s">
        <v>311</v>
      </c>
      <c r="H3" s="1" t="s">
        <v>304</v>
      </c>
      <c r="I3" s="1" t="s">
        <v>10</v>
      </c>
      <c r="J3" s="1" t="s">
        <v>278</v>
      </c>
      <c r="K3" s="18">
        <v>931</v>
      </c>
      <c r="L3" s="18">
        <v>1604</v>
      </c>
      <c r="M3" s="18">
        <f>IFERROR(Sales_Data_Analysis[[#This Row],[Gross_Sales]]-Sales_Data_Analysis[[#This Row],[Cost]],"No data")</f>
        <v>673</v>
      </c>
      <c r="N3" t="str">
        <f>IF(Sales_Data_Analysis[[#This Row],[Profit]]&lt;=Reference_Tables!$F$7,Reference_Tables!$G$7,IF(Sales_Data_Analysis[[#This Row],[Profit]]&lt;=Reference_Tables!$F$6,Reference_Tables!$G$6,IF(Sales_Data_Analysis[[#This Row],[Profit]]&lt;=Reference_Tables!$F$5,Reference_Tables!$G$5,Reference_Tables!$G$4)))</f>
        <v>Platinum</v>
      </c>
      <c r="O3" s="19">
        <f>VLOOKUP(Sales_Data_Analysis[[#This Row],[Gross_Sales]],Table3[],2,TRUE)</f>
        <v>0.1</v>
      </c>
      <c r="P3" s="21">
        <f>EOMONTH(Sales_Data_Analysis[[#This Row],[Order_Date]],1)</f>
        <v>43708</v>
      </c>
      <c r="Q3" s="1">
        <f>NETWORKDAYS(Sales_Data_Analysis[[#This Row],[Order_Date]],Sales_Data_Analysis[[#This Row],[Delivery_Date]])</f>
        <v>9</v>
      </c>
      <c r="S3" s="13" t="s">
        <v>296</v>
      </c>
      <c r="T3" s="13" t="str">
        <f>_xlfn.IFNA(INDEX(Table4[],MATCH(S3,Table4[Project Managers],0),2),"No manager found")</f>
        <v>Oscar Isaac</v>
      </c>
    </row>
    <row r="4" spans="1:20" x14ac:dyDescent="0.25">
      <c r="A4" s="1" t="s">
        <v>35</v>
      </c>
      <c r="B4" s="1" t="s">
        <v>36</v>
      </c>
      <c r="C4" s="1">
        <f>MONTH(Sales_Data_Analysis[[#This Row],[Order_Date]])</f>
        <v>1</v>
      </c>
      <c r="D4" s="1">
        <f>YEAR(Sales_Data_Analysis[[#This Row],[Order_Date]])</f>
        <v>2018</v>
      </c>
      <c r="E4" s="2">
        <v>43136</v>
      </c>
      <c r="F4" s="1" t="s">
        <v>24</v>
      </c>
      <c r="G4" s="1" t="s">
        <v>311</v>
      </c>
      <c r="H4" s="1" t="s">
        <v>304</v>
      </c>
      <c r="I4" s="1" t="s">
        <v>37</v>
      </c>
      <c r="J4" s="1" t="s">
        <v>272</v>
      </c>
      <c r="K4" s="18">
        <v>999</v>
      </c>
      <c r="L4" s="18">
        <v>1579</v>
      </c>
      <c r="M4" s="18">
        <f>IFERROR(Sales_Data_Analysis[[#This Row],[Gross_Sales]]-Sales_Data_Analysis[[#This Row],[Cost]],"No data")</f>
        <v>580</v>
      </c>
      <c r="N4" t="str">
        <f>IF(Sales_Data_Analysis[[#This Row],[Profit]]&lt;=Reference_Tables!$F$7,Reference_Tables!$G$7,IF(Sales_Data_Analysis[[#This Row],[Profit]]&lt;=Reference_Tables!$F$6,Reference_Tables!$G$6,IF(Sales_Data_Analysis[[#This Row],[Profit]]&lt;=Reference_Tables!$F$5,Reference_Tables!$G$5,Reference_Tables!$G$4)))</f>
        <v>Gold</v>
      </c>
      <c r="O4" s="19">
        <f>VLOOKUP(Sales_Data_Analysis[[#This Row],[Gross_Sales]],Table3[],2,TRUE)</f>
        <v>0.1</v>
      </c>
      <c r="P4" s="21">
        <f>EOMONTH(Sales_Data_Analysis[[#This Row],[Order_Date]],1)</f>
        <v>43159</v>
      </c>
      <c r="Q4" s="1">
        <f>NETWORKDAYS(Sales_Data_Analysis[[#This Row],[Order_Date]],Sales_Data_Analysis[[#This Row],[Delivery_Date]])</f>
        <v>4</v>
      </c>
    </row>
    <row r="5" spans="1:20" x14ac:dyDescent="0.25">
      <c r="A5" s="1" t="s">
        <v>46</v>
      </c>
      <c r="B5" s="1" t="s">
        <v>47</v>
      </c>
      <c r="C5" s="1">
        <f>MONTH(Sales_Data_Analysis[[#This Row],[Order_Date]])</f>
        <v>2</v>
      </c>
      <c r="D5" s="1">
        <f>YEAR(Sales_Data_Analysis[[#This Row],[Order_Date]])</f>
        <v>2018</v>
      </c>
      <c r="E5" s="2">
        <v>43153</v>
      </c>
      <c r="F5" s="1" t="s">
        <v>28</v>
      </c>
      <c r="G5" s="1" t="s">
        <v>312</v>
      </c>
      <c r="H5" s="1" t="s">
        <v>305</v>
      </c>
      <c r="I5" s="1" t="s">
        <v>37</v>
      </c>
      <c r="J5" s="1" t="s">
        <v>270</v>
      </c>
      <c r="K5" s="18">
        <v>382</v>
      </c>
      <c r="L5" s="18">
        <v>1007</v>
      </c>
      <c r="M5" s="18">
        <f>IFERROR(Sales_Data_Analysis[[#This Row],[Gross_Sales]]-Sales_Data_Analysis[[#This Row],[Cost]],"No data")</f>
        <v>625</v>
      </c>
      <c r="N5" t="str">
        <f>IF(Sales_Data_Analysis[[#This Row],[Profit]]&lt;=Reference_Tables!$F$7,Reference_Tables!$G$7,IF(Sales_Data_Analysis[[#This Row],[Profit]]&lt;=Reference_Tables!$F$6,Reference_Tables!$G$6,IF(Sales_Data_Analysis[[#This Row],[Profit]]&lt;=Reference_Tables!$F$5,Reference_Tables!$G$5,Reference_Tables!$G$4)))</f>
        <v>Platinum</v>
      </c>
      <c r="O5" s="19">
        <f>VLOOKUP(Sales_Data_Analysis[[#This Row],[Gross_Sales]],Table3[],2,TRUE)</f>
        <v>0.05</v>
      </c>
      <c r="P5" s="21">
        <f>EOMONTH(Sales_Data_Analysis[[#This Row],[Order_Date]],1)</f>
        <v>43190</v>
      </c>
      <c r="Q5" s="1">
        <f>NETWORKDAYS(Sales_Data_Analysis[[#This Row],[Order_Date]],Sales_Data_Analysis[[#This Row],[Delivery_Date]])</f>
        <v>8</v>
      </c>
    </row>
    <row r="6" spans="1:20" x14ac:dyDescent="0.25">
      <c r="A6" s="1" t="s">
        <v>51</v>
      </c>
      <c r="B6" s="1" t="s">
        <v>52</v>
      </c>
      <c r="C6" s="1">
        <f>MONTH(Sales_Data_Analysis[[#This Row],[Order_Date]])</f>
        <v>6</v>
      </c>
      <c r="D6" s="1">
        <f>YEAR(Sales_Data_Analysis[[#This Row],[Order_Date]])</f>
        <v>2018</v>
      </c>
      <c r="E6" s="2">
        <v>43279</v>
      </c>
      <c r="F6" s="1" t="s">
        <v>53</v>
      </c>
      <c r="G6" s="1" t="s">
        <v>313</v>
      </c>
      <c r="H6" s="1" t="s">
        <v>304</v>
      </c>
      <c r="I6" s="1" t="s">
        <v>33</v>
      </c>
      <c r="J6" s="1" t="s">
        <v>302</v>
      </c>
      <c r="K6" s="18">
        <v>500</v>
      </c>
      <c r="L6" s="18">
        <v>922</v>
      </c>
      <c r="M6" s="18">
        <f>IFERROR(Sales_Data_Analysis[[#This Row],[Gross_Sales]]-Sales_Data_Analysis[[#This Row],[Cost]],"No data")</f>
        <v>422</v>
      </c>
      <c r="N6" t="str">
        <f>IF(Sales_Data_Analysis[[#This Row],[Profit]]&lt;=Reference_Tables!$F$7,Reference_Tables!$G$7,IF(Sales_Data_Analysis[[#This Row],[Profit]]&lt;=Reference_Tables!$F$6,Reference_Tables!$G$6,IF(Sales_Data_Analysis[[#This Row],[Profit]]&lt;=Reference_Tables!$F$5,Reference_Tables!$G$5,Reference_Tables!$G$4)))</f>
        <v>Gold</v>
      </c>
      <c r="O6" s="19">
        <f>VLOOKUP(Sales_Data_Analysis[[#This Row],[Gross_Sales]],Table3[],2,TRUE)</f>
        <v>0.02</v>
      </c>
      <c r="P6" s="21">
        <f>EOMONTH(Sales_Data_Analysis[[#This Row],[Order_Date]],1)</f>
        <v>43312</v>
      </c>
      <c r="Q6" s="1">
        <f>NETWORKDAYS(Sales_Data_Analysis[[#This Row],[Order_Date]],Sales_Data_Analysis[[#This Row],[Delivery_Date]])</f>
        <v>11</v>
      </c>
    </row>
    <row r="7" spans="1:20" x14ac:dyDescent="0.25">
      <c r="A7" s="1" t="s">
        <v>57</v>
      </c>
      <c r="B7" s="1" t="s">
        <v>58</v>
      </c>
      <c r="C7" s="1">
        <f>MONTH(Sales_Data_Analysis[[#This Row],[Order_Date]])</f>
        <v>5</v>
      </c>
      <c r="D7" s="1">
        <f>YEAR(Sales_Data_Analysis[[#This Row],[Order_Date]])</f>
        <v>2018</v>
      </c>
      <c r="E7" s="2">
        <v>43240</v>
      </c>
      <c r="F7" s="1" t="s">
        <v>53</v>
      </c>
      <c r="G7" s="1" t="s">
        <v>313</v>
      </c>
      <c r="H7" s="1" t="s">
        <v>304</v>
      </c>
      <c r="I7" s="1" t="s">
        <v>33</v>
      </c>
      <c r="J7" s="1" t="s">
        <v>302</v>
      </c>
      <c r="K7" s="18">
        <v>904</v>
      </c>
      <c r="L7" s="18">
        <v>1152</v>
      </c>
      <c r="M7" s="18">
        <f>IFERROR(Sales_Data_Analysis[[#This Row],[Gross_Sales]]-Sales_Data_Analysis[[#This Row],[Cost]],"No data")</f>
        <v>248</v>
      </c>
      <c r="N7" t="str">
        <f>IF(Sales_Data_Analysis[[#This Row],[Profit]]&lt;=Reference_Tables!$F$7,Reference_Tables!$G$7,IF(Sales_Data_Analysis[[#This Row],[Profit]]&lt;=Reference_Tables!$F$6,Reference_Tables!$G$6,IF(Sales_Data_Analysis[[#This Row],[Profit]]&lt;=Reference_Tables!$F$5,Reference_Tables!$G$5,Reference_Tables!$G$4)))</f>
        <v>Silver</v>
      </c>
      <c r="O7" s="19">
        <f>VLOOKUP(Sales_Data_Analysis[[#This Row],[Gross_Sales]],Table3[],2,TRUE)</f>
        <v>0.05</v>
      </c>
      <c r="P7" s="21">
        <f>EOMONTH(Sales_Data_Analysis[[#This Row],[Order_Date]],1)</f>
        <v>43281</v>
      </c>
      <c r="Q7" s="1">
        <f>NETWORKDAYS(Sales_Data_Analysis[[#This Row],[Order_Date]],Sales_Data_Analysis[[#This Row],[Delivery_Date]])</f>
        <v>2</v>
      </c>
    </row>
    <row r="8" spans="1:20" x14ac:dyDescent="0.25">
      <c r="A8" s="1" t="s">
        <v>65</v>
      </c>
      <c r="B8" s="1" t="s">
        <v>66</v>
      </c>
      <c r="C8" s="1">
        <f>MONTH(Sales_Data_Analysis[[#This Row],[Order_Date]])</f>
        <v>6</v>
      </c>
      <c r="D8" s="1">
        <f>YEAR(Sales_Data_Analysis[[#This Row],[Order_Date]])</f>
        <v>2019</v>
      </c>
      <c r="E8" s="2">
        <v>43647</v>
      </c>
      <c r="F8" s="1" t="s">
        <v>53</v>
      </c>
      <c r="G8" s="1" t="s">
        <v>313</v>
      </c>
      <c r="H8" s="1" t="s">
        <v>304</v>
      </c>
      <c r="I8" s="1" t="s">
        <v>20</v>
      </c>
      <c r="J8" s="1" t="s">
        <v>292</v>
      </c>
      <c r="K8" s="18">
        <v>768</v>
      </c>
      <c r="L8" s="18">
        <v>1186</v>
      </c>
      <c r="M8" s="18">
        <f>IFERROR(Sales_Data_Analysis[[#This Row],[Gross_Sales]]-Sales_Data_Analysis[[#This Row],[Cost]],"No data")</f>
        <v>418</v>
      </c>
      <c r="N8" t="str">
        <f>IF(Sales_Data_Analysis[[#This Row],[Profit]]&lt;=Reference_Tables!$F$7,Reference_Tables!$G$7,IF(Sales_Data_Analysis[[#This Row],[Profit]]&lt;=Reference_Tables!$F$6,Reference_Tables!$G$6,IF(Sales_Data_Analysis[[#This Row],[Profit]]&lt;=Reference_Tables!$F$5,Reference_Tables!$G$5,Reference_Tables!$G$4)))</f>
        <v>Gold</v>
      </c>
      <c r="O8" s="19">
        <f>VLOOKUP(Sales_Data_Analysis[[#This Row],[Gross_Sales]],Table3[],2,TRUE)</f>
        <v>0.05</v>
      </c>
      <c r="P8" s="21">
        <f>EOMONTH(Sales_Data_Analysis[[#This Row],[Order_Date]],1)</f>
        <v>43677</v>
      </c>
      <c r="Q8" s="1">
        <f>NETWORKDAYS(Sales_Data_Analysis[[#This Row],[Order_Date]],Sales_Data_Analysis[[#This Row],[Delivery_Date]])</f>
        <v>10</v>
      </c>
    </row>
    <row r="9" spans="1:20" x14ac:dyDescent="0.25">
      <c r="A9" s="1" t="s">
        <v>68</v>
      </c>
      <c r="B9" s="1" t="s">
        <v>69</v>
      </c>
      <c r="C9" s="1">
        <f>MONTH(Sales_Data_Analysis[[#This Row],[Order_Date]])</f>
        <v>2</v>
      </c>
      <c r="D9" s="1">
        <f>YEAR(Sales_Data_Analysis[[#This Row],[Order_Date]])</f>
        <v>2019</v>
      </c>
      <c r="E9" s="2">
        <v>43520</v>
      </c>
      <c r="F9" s="1" t="s">
        <v>9</v>
      </c>
      <c r="G9" s="1" t="s">
        <v>314</v>
      </c>
      <c r="H9" s="1" t="s">
        <v>306</v>
      </c>
      <c r="I9" s="1" t="s">
        <v>10</v>
      </c>
      <c r="J9" s="1" t="s">
        <v>282</v>
      </c>
      <c r="K9" s="18">
        <v>416</v>
      </c>
      <c r="L9" s="18">
        <v>896</v>
      </c>
      <c r="M9" s="18">
        <f>IFERROR(Sales_Data_Analysis[[#This Row],[Gross_Sales]]-Sales_Data_Analysis[[#This Row],[Cost]],"No data")</f>
        <v>480</v>
      </c>
      <c r="N9" t="str">
        <f>IF(Sales_Data_Analysis[[#This Row],[Profit]]&lt;=Reference_Tables!$F$7,Reference_Tables!$G$7,IF(Sales_Data_Analysis[[#This Row],[Profit]]&lt;=Reference_Tables!$F$6,Reference_Tables!$G$6,IF(Sales_Data_Analysis[[#This Row],[Profit]]&lt;=Reference_Tables!$F$5,Reference_Tables!$G$5,Reference_Tables!$G$4)))</f>
        <v>Gold</v>
      </c>
      <c r="O9" s="19">
        <f>VLOOKUP(Sales_Data_Analysis[[#This Row],[Gross_Sales]],Table3[],2,TRUE)</f>
        <v>0.02</v>
      </c>
      <c r="P9" s="21">
        <f>EOMONTH(Sales_Data_Analysis[[#This Row],[Order_Date]],1)</f>
        <v>43555</v>
      </c>
      <c r="Q9" s="1">
        <f>NETWORKDAYS(Sales_Data_Analysis[[#This Row],[Order_Date]],Sales_Data_Analysis[[#This Row],[Delivery_Date]])</f>
        <v>7</v>
      </c>
    </row>
    <row r="10" spans="1:20" x14ac:dyDescent="0.25">
      <c r="A10" s="1" t="s">
        <v>70</v>
      </c>
      <c r="B10" s="1" t="s">
        <v>71</v>
      </c>
      <c r="C10" s="1">
        <f>MONTH(Sales_Data_Analysis[[#This Row],[Order_Date]])</f>
        <v>12</v>
      </c>
      <c r="D10" s="1">
        <f>YEAR(Sales_Data_Analysis[[#This Row],[Order_Date]])</f>
        <v>2018</v>
      </c>
      <c r="E10" s="2">
        <v>43451</v>
      </c>
      <c r="F10" s="1" t="s">
        <v>44</v>
      </c>
      <c r="G10" s="1" t="s">
        <v>315</v>
      </c>
      <c r="H10" s="1" t="s">
        <v>305</v>
      </c>
      <c r="I10" s="1" t="s">
        <v>10</v>
      </c>
      <c r="J10" s="1" t="s">
        <v>282</v>
      </c>
      <c r="K10" s="18">
        <v>953</v>
      </c>
      <c r="L10" s="18">
        <v>1411</v>
      </c>
      <c r="M10" s="18">
        <f>IFERROR(Sales_Data_Analysis[[#This Row],[Gross_Sales]]-Sales_Data_Analysis[[#This Row],[Cost]],"No data")</f>
        <v>458</v>
      </c>
      <c r="N10" t="str">
        <f>IF(Sales_Data_Analysis[[#This Row],[Profit]]&lt;=Reference_Tables!$F$7,Reference_Tables!$G$7,IF(Sales_Data_Analysis[[#This Row],[Profit]]&lt;=Reference_Tables!$F$6,Reference_Tables!$G$6,IF(Sales_Data_Analysis[[#This Row],[Profit]]&lt;=Reference_Tables!$F$5,Reference_Tables!$G$5,Reference_Tables!$G$4)))</f>
        <v>Gold</v>
      </c>
      <c r="O10" s="19">
        <f>VLOOKUP(Sales_Data_Analysis[[#This Row],[Gross_Sales]],Table3[],2,TRUE)</f>
        <v>0.05</v>
      </c>
      <c r="P10" s="21">
        <f>EOMONTH(Sales_Data_Analysis[[#This Row],[Order_Date]],1)</f>
        <v>43496</v>
      </c>
      <c r="Q10" s="1">
        <f>NETWORKDAYS(Sales_Data_Analysis[[#This Row],[Order_Date]],Sales_Data_Analysis[[#This Row],[Delivery_Date]])</f>
        <v>6</v>
      </c>
    </row>
    <row r="11" spans="1:20" x14ac:dyDescent="0.25">
      <c r="A11" s="1" t="s">
        <v>75</v>
      </c>
      <c r="B11" s="1" t="s">
        <v>76</v>
      </c>
      <c r="C11" s="1">
        <f>MONTH(Sales_Data_Analysis[[#This Row],[Order_Date]])</f>
        <v>9</v>
      </c>
      <c r="D11" s="1">
        <f>YEAR(Sales_Data_Analysis[[#This Row],[Order_Date]])</f>
        <v>2018</v>
      </c>
      <c r="E11" s="2">
        <v>43367</v>
      </c>
      <c r="F11" s="1" t="s">
        <v>24</v>
      </c>
      <c r="G11" s="1" t="s">
        <v>311</v>
      </c>
      <c r="H11" s="1" t="s">
        <v>304</v>
      </c>
      <c r="I11" s="1" t="s">
        <v>10</v>
      </c>
      <c r="J11" s="1" t="s">
        <v>280</v>
      </c>
      <c r="K11" s="18">
        <v>483</v>
      </c>
      <c r="L11" s="18">
        <v>825</v>
      </c>
      <c r="M11" s="18">
        <f>IFERROR(Sales_Data_Analysis[[#This Row],[Gross_Sales]]-Sales_Data_Analysis[[#This Row],[Cost]],"No data")</f>
        <v>342</v>
      </c>
      <c r="N11" t="str">
        <f>IF(Sales_Data_Analysis[[#This Row],[Profit]]&lt;=Reference_Tables!$F$7,Reference_Tables!$G$7,IF(Sales_Data_Analysis[[#This Row],[Profit]]&lt;=Reference_Tables!$F$6,Reference_Tables!$G$6,IF(Sales_Data_Analysis[[#This Row],[Profit]]&lt;=Reference_Tables!$F$5,Reference_Tables!$G$5,Reference_Tables!$G$4)))</f>
        <v>Gold</v>
      </c>
      <c r="O11" s="19">
        <f>VLOOKUP(Sales_Data_Analysis[[#This Row],[Gross_Sales]],Table3[],2,TRUE)</f>
        <v>0.02</v>
      </c>
      <c r="P11" s="21">
        <f>EOMONTH(Sales_Data_Analysis[[#This Row],[Order_Date]],1)</f>
        <v>43404</v>
      </c>
      <c r="Q11" s="1">
        <f>NETWORKDAYS(Sales_Data_Analysis[[#This Row],[Order_Date]],Sales_Data_Analysis[[#This Row],[Delivery_Date]])</f>
        <v>7</v>
      </c>
    </row>
    <row r="12" spans="1:20" x14ac:dyDescent="0.25">
      <c r="A12" s="1" t="s">
        <v>77</v>
      </c>
      <c r="B12" s="1" t="s">
        <v>78</v>
      </c>
      <c r="C12" s="1">
        <f>MONTH(Sales_Data_Analysis[[#This Row],[Order_Date]])</f>
        <v>6</v>
      </c>
      <c r="D12" s="1">
        <f>YEAR(Sales_Data_Analysis[[#This Row],[Order_Date]])</f>
        <v>2018</v>
      </c>
      <c r="E12" s="2">
        <v>43282</v>
      </c>
      <c r="F12" s="1" t="s">
        <v>53</v>
      </c>
      <c r="G12" s="1" t="s">
        <v>313</v>
      </c>
      <c r="H12" s="1" t="s">
        <v>304</v>
      </c>
      <c r="I12" s="1" t="s">
        <v>33</v>
      </c>
      <c r="J12" s="1" t="s">
        <v>300</v>
      </c>
      <c r="K12" s="18">
        <v>334</v>
      </c>
      <c r="L12" s="18">
        <v>981</v>
      </c>
      <c r="M12" s="18">
        <f>IFERROR(Sales_Data_Analysis[[#This Row],[Gross_Sales]]-Sales_Data_Analysis[[#This Row],[Cost]],"No data")</f>
        <v>647</v>
      </c>
      <c r="N12" t="str">
        <f>IF(Sales_Data_Analysis[[#This Row],[Profit]]&lt;=Reference_Tables!$F$7,Reference_Tables!$G$7,IF(Sales_Data_Analysis[[#This Row],[Profit]]&lt;=Reference_Tables!$F$6,Reference_Tables!$G$6,IF(Sales_Data_Analysis[[#This Row],[Profit]]&lt;=Reference_Tables!$F$5,Reference_Tables!$G$5,Reference_Tables!$G$4)))</f>
        <v>Platinum</v>
      </c>
      <c r="O12" s="19">
        <f>VLOOKUP(Sales_Data_Analysis[[#This Row],[Gross_Sales]],Table3[],2,TRUE)</f>
        <v>0.02</v>
      </c>
      <c r="P12" s="21">
        <f>EOMONTH(Sales_Data_Analysis[[#This Row],[Order_Date]],1)</f>
        <v>43312</v>
      </c>
      <c r="Q12" s="1">
        <f>NETWORKDAYS(Sales_Data_Analysis[[#This Row],[Order_Date]],Sales_Data_Analysis[[#This Row],[Delivery_Date]])</f>
        <v>6</v>
      </c>
    </row>
    <row r="13" spans="1:20" x14ac:dyDescent="0.25">
      <c r="A13" s="1" t="s">
        <v>79</v>
      </c>
      <c r="B13" s="1" t="s">
        <v>78</v>
      </c>
      <c r="C13" s="1">
        <f>MONTH(Sales_Data_Analysis[[#This Row],[Order_Date]])</f>
        <v>6</v>
      </c>
      <c r="D13" s="1">
        <f>YEAR(Sales_Data_Analysis[[#This Row],[Order_Date]])</f>
        <v>2018</v>
      </c>
      <c r="E13" s="2">
        <v>43285</v>
      </c>
      <c r="F13" s="1" t="s">
        <v>24</v>
      </c>
      <c r="G13" s="1" t="s">
        <v>311</v>
      </c>
      <c r="H13" s="1" t="s">
        <v>304</v>
      </c>
      <c r="I13" s="1" t="s">
        <v>15</v>
      </c>
      <c r="J13" s="1" t="s">
        <v>284</v>
      </c>
      <c r="K13" s="18">
        <v>472</v>
      </c>
      <c r="L13" s="18">
        <v>785</v>
      </c>
      <c r="M13" s="18">
        <f>IFERROR(Sales_Data_Analysis[[#This Row],[Gross_Sales]]-Sales_Data_Analysis[[#This Row],[Cost]],"No data")</f>
        <v>313</v>
      </c>
      <c r="N13" t="str">
        <f>IF(Sales_Data_Analysis[[#This Row],[Profit]]&lt;=Reference_Tables!$F$7,Reference_Tables!$G$7,IF(Sales_Data_Analysis[[#This Row],[Profit]]&lt;=Reference_Tables!$F$6,Reference_Tables!$G$6,IF(Sales_Data_Analysis[[#This Row],[Profit]]&lt;=Reference_Tables!$F$5,Reference_Tables!$G$5,Reference_Tables!$G$4)))</f>
        <v>Gold</v>
      </c>
      <c r="O13" s="19">
        <f>VLOOKUP(Sales_Data_Analysis[[#This Row],[Gross_Sales]],Table3[],2,TRUE)</f>
        <v>0.02</v>
      </c>
      <c r="P13" s="21">
        <f>EOMONTH(Sales_Data_Analysis[[#This Row],[Order_Date]],1)</f>
        <v>43312</v>
      </c>
      <c r="Q13" s="1">
        <f>NETWORKDAYS(Sales_Data_Analysis[[#This Row],[Order_Date]],Sales_Data_Analysis[[#This Row],[Delivery_Date]])</f>
        <v>9</v>
      </c>
    </row>
    <row r="14" spans="1:20" x14ac:dyDescent="0.25">
      <c r="A14" s="1" t="s">
        <v>83</v>
      </c>
      <c r="B14" s="1" t="s">
        <v>84</v>
      </c>
      <c r="C14" s="1">
        <f>MONTH(Sales_Data_Analysis[[#This Row],[Order_Date]])</f>
        <v>6</v>
      </c>
      <c r="D14" s="1">
        <f>YEAR(Sales_Data_Analysis[[#This Row],[Order_Date]])</f>
        <v>2019</v>
      </c>
      <c r="E14" s="2">
        <v>43647</v>
      </c>
      <c r="F14" s="1" t="s">
        <v>19</v>
      </c>
      <c r="G14" s="1" t="s">
        <v>316</v>
      </c>
      <c r="H14" s="1" t="s">
        <v>306</v>
      </c>
      <c r="I14" s="1" t="s">
        <v>15</v>
      </c>
      <c r="J14" s="1" t="s">
        <v>288</v>
      </c>
      <c r="K14" s="18">
        <v>148</v>
      </c>
      <c r="L14" s="18">
        <v>451</v>
      </c>
      <c r="M14" s="18">
        <f>IFERROR(Sales_Data_Analysis[[#This Row],[Gross_Sales]]-Sales_Data_Analysis[[#This Row],[Cost]],"No data")</f>
        <v>303</v>
      </c>
      <c r="N14" t="str">
        <f>IF(Sales_Data_Analysis[[#This Row],[Profit]]&lt;=Reference_Tables!$F$7,Reference_Tables!$G$7,IF(Sales_Data_Analysis[[#This Row],[Profit]]&lt;=Reference_Tables!$F$6,Reference_Tables!$G$6,IF(Sales_Data_Analysis[[#This Row],[Profit]]&lt;=Reference_Tables!$F$5,Reference_Tables!$G$5,Reference_Tables!$G$4)))</f>
        <v>Gold</v>
      </c>
      <c r="O14" s="19">
        <f>VLOOKUP(Sales_Data_Analysis[[#This Row],[Gross_Sales]],Table3[],2,TRUE)</f>
        <v>0</v>
      </c>
      <c r="P14" s="21">
        <f>EOMONTH(Sales_Data_Analysis[[#This Row],[Order_Date]],1)</f>
        <v>43677</v>
      </c>
      <c r="Q14" s="1">
        <f>NETWORKDAYS(Sales_Data_Analysis[[#This Row],[Order_Date]],Sales_Data_Analysis[[#This Row],[Delivery_Date]])</f>
        <v>2</v>
      </c>
    </row>
    <row r="15" spans="1:20" x14ac:dyDescent="0.25">
      <c r="A15" s="1" t="s">
        <v>86</v>
      </c>
      <c r="B15" s="1" t="s">
        <v>87</v>
      </c>
      <c r="C15" s="1">
        <f>MONTH(Sales_Data_Analysis[[#This Row],[Order_Date]])</f>
        <v>11</v>
      </c>
      <c r="D15" s="1">
        <f>YEAR(Sales_Data_Analysis[[#This Row],[Order_Date]])</f>
        <v>2019</v>
      </c>
      <c r="E15" s="2">
        <v>43802</v>
      </c>
      <c r="F15" s="1" t="s">
        <v>9</v>
      </c>
      <c r="G15" s="1" t="s">
        <v>314</v>
      </c>
      <c r="H15" s="1" t="s">
        <v>306</v>
      </c>
      <c r="I15" s="1" t="s">
        <v>15</v>
      </c>
      <c r="J15" s="1" t="s">
        <v>290</v>
      </c>
      <c r="K15" s="18">
        <v>766</v>
      </c>
      <c r="L15" s="18">
        <v>1054</v>
      </c>
      <c r="M15" s="18">
        <f>IFERROR(Sales_Data_Analysis[[#This Row],[Gross_Sales]]-Sales_Data_Analysis[[#This Row],[Cost]],"No data")</f>
        <v>288</v>
      </c>
      <c r="N15" t="str">
        <f>IF(Sales_Data_Analysis[[#This Row],[Profit]]&lt;=Reference_Tables!$F$7,Reference_Tables!$G$7,IF(Sales_Data_Analysis[[#This Row],[Profit]]&lt;=Reference_Tables!$F$6,Reference_Tables!$G$6,IF(Sales_Data_Analysis[[#This Row],[Profit]]&lt;=Reference_Tables!$F$5,Reference_Tables!$G$5,Reference_Tables!$G$4)))</f>
        <v>Silver</v>
      </c>
      <c r="O15" s="19">
        <f>VLOOKUP(Sales_Data_Analysis[[#This Row],[Gross_Sales]],Table3[],2,TRUE)</f>
        <v>0.05</v>
      </c>
      <c r="P15" s="21">
        <f>EOMONTH(Sales_Data_Analysis[[#This Row],[Order_Date]],1)</f>
        <v>43830</v>
      </c>
      <c r="Q15" s="1">
        <f>NETWORKDAYS(Sales_Data_Analysis[[#This Row],[Order_Date]],Sales_Data_Analysis[[#This Row],[Delivery_Date]])</f>
        <v>7</v>
      </c>
    </row>
    <row r="16" spans="1:20" x14ac:dyDescent="0.25">
      <c r="A16" s="1" t="s">
        <v>95</v>
      </c>
      <c r="B16" s="1" t="s">
        <v>96</v>
      </c>
      <c r="C16" s="1">
        <f>MONTH(Sales_Data_Analysis[[#This Row],[Order_Date]])</f>
        <v>5</v>
      </c>
      <c r="D16" s="1">
        <f>YEAR(Sales_Data_Analysis[[#This Row],[Order_Date]])</f>
        <v>2018</v>
      </c>
      <c r="E16" s="2">
        <v>43252</v>
      </c>
      <c r="F16" s="1" t="s">
        <v>44</v>
      </c>
      <c r="G16" s="1" t="s">
        <v>315</v>
      </c>
      <c r="H16" s="1" t="s">
        <v>305</v>
      </c>
      <c r="I16" s="1" t="s">
        <v>33</v>
      </c>
      <c r="J16" s="1" t="s">
        <v>298</v>
      </c>
      <c r="K16" s="18">
        <v>416</v>
      </c>
      <c r="L16" s="18">
        <v>712</v>
      </c>
      <c r="M16" s="18">
        <f>IFERROR(Sales_Data_Analysis[[#This Row],[Gross_Sales]]-Sales_Data_Analysis[[#This Row],[Cost]],"No data")</f>
        <v>296</v>
      </c>
      <c r="N16" t="str">
        <f>IF(Sales_Data_Analysis[[#This Row],[Profit]]&lt;=Reference_Tables!$F$7,Reference_Tables!$G$7,IF(Sales_Data_Analysis[[#This Row],[Profit]]&lt;=Reference_Tables!$F$6,Reference_Tables!$G$6,IF(Sales_Data_Analysis[[#This Row],[Profit]]&lt;=Reference_Tables!$F$5,Reference_Tables!$G$5,Reference_Tables!$G$4)))</f>
        <v>Silver</v>
      </c>
      <c r="O16" s="19">
        <f>VLOOKUP(Sales_Data_Analysis[[#This Row],[Gross_Sales]],Table3[],2,TRUE)</f>
        <v>0.02</v>
      </c>
      <c r="P16" s="21">
        <f>EOMONTH(Sales_Data_Analysis[[#This Row],[Order_Date]],1)</f>
        <v>43281</v>
      </c>
      <c r="Q16" s="1">
        <f>NETWORKDAYS(Sales_Data_Analysis[[#This Row],[Order_Date]],Sales_Data_Analysis[[#This Row],[Delivery_Date]])</f>
        <v>4</v>
      </c>
    </row>
    <row r="17" spans="1:17" x14ac:dyDescent="0.25">
      <c r="A17" s="1" t="s">
        <v>102</v>
      </c>
      <c r="B17" s="1" t="s">
        <v>103</v>
      </c>
      <c r="C17" s="1">
        <f>MONTH(Sales_Data_Analysis[[#This Row],[Order_Date]])</f>
        <v>11</v>
      </c>
      <c r="D17" s="1">
        <f>YEAR(Sales_Data_Analysis[[#This Row],[Order_Date]])</f>
        <v>2019</v>
      </c>
      <c r="E17" s="2">
        <v>43806</v>
      </c>
      <c r="F17" s="1" t="s">
        <v>9</v>
      </c>
      <c r="G17" s="1" t="s">
        <v>314</v>
      </c>
      <c r="H17" s="1" t="s">
        <v>306</v>
      </c>
      <c r="I17" s="1" t="s">
        <v>10</v>
      </c>
      <c r="J17" s="1" t="s">
        <v>278</v>
      </c>
      <c r="K17" s="18">
        <v>318</v>
      </c>
      <c r="L17" s="18">
        <v>867</v>
      </c>
      <c r="M17" s="18">
        <f>IFERROR(Sales_Data_Analysis[[#This Row],[Gross_Sales]]-Sales_Data_Analysis[[#This Row],[Cost]],"No data")</f>
        <v>549</v>
      </c>
      <c r="N17" t="str">
        <f>IF(Sales_Data_Analysis[[#This Row],[Profit]]&lt;=Reference_Tables!$F$7,Reference_Tables!$G$7,IF(Sales_Data_Analysis[[#This Row],[Profit]]&lt;=Reference_Tables!$F$6,Reference_Tables!$G$6,IF(Sales_Data_Analysis[[#This Row],[Profit]]&lt;=Reference_Tables!$F$5,Reference_Tables!$G$5,Reference_Tables!$G$4)))</f>
        <v>Gold</v>
      </c>
      <c r="O17" s="19">
        <f>VLOOKUP(Sales_Data_Analysis[[#This Row],[Gross_Sales]],Table3[],2,TRUE)</f>
        <v>0.02</v>
      </c>
      <c r="P17" s="21">
        <f>EOMONTH(Sales_Data_Analysis[[#This Row],[Order_Date]],1)</f>
        <v>43830</v>
      </c>
      <c r="Q17" s="1">
        <f>NETWORKDAYS(Sales_Data_Analysis[[#This Row],[Order_Date]],Sales_Data_Analysis[[#This Row],[Delivery_Date]])</f>
        <v>9</v>
      </c>
    </row>
    <row r="18" spans="1:17" x14ac:dyDescent="0.25">
      <c r="A18" s="1" t="s">
        <v>104</v>
      </c>
      <c r="B18" s="1" t="s">
        <v>105</v>
      </c>
      <c r="C18" s="1">
        <f>MONTH(Sales_Data_Analysis[[#This Row],[Order_Date]])</f>
        <v>5</v>
      </c>
      <c r="D18" s="1">
        <f>YEAR(Sales_Data_Analysis[[#This Row],[Order_Date]])</f>
        <v>2018</v>
      </c>
      <c r="E18" s="2">
        <v>43260</v>
      </c>
      <c r="F18" s="1" t="s">
        <v>28</v>
      </c>
      <c r="G18" s="1" t="s">
        <v>312</v>
      </c>
      <c r="H18" s="1" t="s">
        <v>305</v>
      </c>
      <c r="I18" s="1" t="s">
        <v>37</v>
      </c>
      <c r="J18" s="1" t="s">
        <v>274</v>
      </c>
      <c r="K18" s="18">
        <v>840</v>
      </c>
      <c r="L18" s="18">
        <v>1233</v>
      </c>
      <c r="M18" s="18">
        <f>IFERROR(Sales_Data_Analysis[[#This Row],[Gross_Sales]]-Sales_Data_Analysis[[#This Row],[Cost]],"No data")</f>
        <v>393</v>
      </c>
      <c r="N18" t="str">
        <f>IF(Sales_Data_Analysis[[#This Row],[Profit]]&lt;=Reference_Tables!$F$7,Reference_Tables!$G$7,IF(Sales_Data_Analysis[[#This Row],[Profit]]&lt;=Reference_Tables!$F$6,Reference_Tables!$G$6,IF(Sales_Data_Analysis[[#This Row],[Profit]]&lt;=Reference_Tables!$F$5,Reference_Tables!$G$5,Reference_Tables!$G$4)))</f>
        <v>Gold</v>
      </c>
      <c r="O18" s="19">
        <f>VLOOKUP(Sales_Data_Analysis[[#This Row],[Gross_Sales]],Table3[],2,TRUE)</f>
        <v>0.05</v>
      </c>
      <c r="P18" s="21">
        <f>EOMONTH(Sales_Data_Analysis[[#This Row],[Order_Date]],1)</f>
        <v>43281</v>
      </c>
      <c r="Q18" s="1">
        <f>NETWORKDAYS(Sales_Data_Analysis[[#This Row],[Order_Date]],Sales_Data_Analysis[[#This Row],[Delivery_Date]])</f>
        <v>8</v>
      </c>
    </row>
    <row r="19" spans="1:17" x14ac:dyDescent="0.25">
      <c r="A19" s="1" t="s">
        <v>111</v>
      </c>
      <c r="B19" s="1" t="s">
        <v>76</v>
      </c>
      <c r="C19" s="1">
        <f>MONTH(Sales_Data_Analysis[[#This Row],[Order_Date]])</f>
        <v>9</v>
      </c>
      <c r="D19" s="1">
        <f>YEAR(Sales_Data_Analysis[[#This Row],[Order_Date]])</f>
        <v>2018</v>
      </c>
      <c r="E19" s="2">
        <v>43366</v>
      </c>
      <c r="F19" s="1" t="s">
        <v>24</v>
      </c>
      <c r="G19" s="1" t="s">
        <v>311</v>
      </c>
      <c r="H19" s="1" t="s">
        <v>304</v>
      </c>
      <c r="I19" s="1" t="s">
        <v>10</v>
      </c>
      <c r="J19" s="1" t="s">
        <v>280</v>
      </c>
      <c r="K19" s="18">
        <v>106</v>
      </c>
      <c r="L19" s="18">
        <v>374</v>
      </c>
      <c r="M19" s="18">
        <f>IFERROR(Sales_Data_Analysis[[#This Row],[Gross_Sales]]-Sales_Data_Analysis[[#This Row],[Cost]],"No data")</f>
        <v>268</v>
      </c>
      <c r="N19" t="str">
        <f>IF(Sales_Data_Analysis[[#This Row],[Profit]]&lt;=Reference_Tables!$F$7,Reference_Tables!$G$7,IF(Sales_Data_Analysis[[#This Row],[Profit]]&lt;=Reference_Tables!$F$6,Reference_Tables!$G$6,IF(Sales_Data_Analysis[[#This Row],[Profit]]&lt;=Reference_Tables!$F$5,Reference_Tables!$G$5,Reference_Tables!$G$4)))</f>
        <v>Silver</v>
      </c>
      <c r="O19" s="19">
        <f>VLOOKUP(Sales_Data_Analysis[[#This Row],[Gross_Sales]],Table3[],2,TRUE)</f>
        <v>0</v>
      </c>
      <c r="P19" s="21">
        <f>EOMONTH(Sales_Data_Analysis[[#This Row],[Order_Date]],1)</f>
        <v>43404</v>
      </c>
      <c r="Q19" s="1">
        <f>NETWORKDAYS(Sales_Data_Analysis[[#This Row],[Order_Date]],Sales_Data_Analysis[[#This Row],[Delivery_Date]])</f>
        <v>6</v>
      </c>
    </row>
    <row r="20" spans="1:17" x14ac:dyDescent="0.25">
      <c r="A20" s="1" t="s">
        <v>122</v>
      </c>
      <c r="B20" s="1" t="s">
        <v>123</v>
      </c>
      <c r="C20" s="1">
        <f>MONTH(Sales_Data_Analysis[[#This Row],[Order_Date]])</f>
        <v>6</v>
      </c>
      <c r="D20" s="1">
        <f>YEAR(Sales_Data_Analysis[[#This Row],[Order_Date]])</f>
        <v>2018</v>
      </c>
      <c r="E20" s="2">
        <v>43288</v>
      </c>
      <c r="F20" s="1" t="s">
        <v>32</v>
      </c>
      <c r="G20" s="1" t="s">
        <v>317</v>
      </c>
      <c r="H20" s="1" t="s">
        <v>307</v>
      </c>
      <c r="I20" s="1" t="s">
        <v>37</v>
      </c>
      <c r="J20" s="1" t="s">
        <v>268</v>
      </c>
      <c r="K20" s="18">
        <v>533</v>
      </c>
      <c r="L20" s="18">
        <v>1207</v>
      </c>
      <c r="M20" s="18">
        <f>IFERROR(Sales_Data_Analysis[[#This Row],[Gross_Sales]]-Sales_Data_Analysis[[#This Row],[Cost]],"No data")</f>
        <v>674</v>
      </c>
      <c r="N20" t="str">
        <f>IF(Sales_Data_Analysis[[#This Row],[Profit]]&lt;=Reference_Tables!$F$7,Reference_Tables!$G$7,IF(Sales_Data_Analysis[[#This Row],[Profit]]&lt;=Reference_Tables!$F$6,Reference_Tables!$G$6,IF(Sales_Data_Analysis[[#This Row],[Profit]]&lt;=Reference_Tables!$F$5,Reference_Tables!$G$5,Reference_Tables!$G$4)))</f>
        <v>Platinum</v>
      </c>
      <c r="O20" s="19">
        <f>VLOOKUP(Sales_Data_Analysis[[#This Row],[Gross_Sales]],Table3[],2,TRUE)</f>
        <v>0.05</v>
      </c>
      <c r="P20" s="21">
        <f>EOMONTH(Sales_Data_Analysis[[#This Row],[Order_Date]],1)</f>
        <v>43312</v>
      </c>
      <c r="Q20" s="1">
        <f>NETWORKDAYS(Sales_Data_Analysis[[#This Row],[Order_Date]],Sales_Data_Analysis[[#This Row],[Delivery_Date]])</f>
        <v>10</v>
      </c>
    </row>
    <row r="21" spans="1:17" x14ac:dyDescent="0.25">
      <c r="A21" s="1" t="s">
        <v>129</v>
      </c>
      <c r="B21" s="1" t="s">
        <v>130</v>
      </c>
      <c r="C21" s="1">
        <f>MONTH(Sales_Data_Analysis[[#This Row],[Order_Date]])</f>
        <v>12</v>
      </c>
      <c r="D21" s="1">
        <f>YEAR(Sales_Data_Analysis[[#This Row],[Order_Date]])</f>
        <v>2018</v>
      </c>
      <c r="E21" s="2">
        <v>43468</v>
      </c>
      <c r="F21" s="1" t="s">
        <v>14</v>
      </c>
      <c r="G21" s="1" t="s">
        <v>310</v>
      </c>
      <c r="H21" s="1" t="s">
        <v>304</v>
      </c>
      <c r="I21" s="1" t="s">
        <v>10</v>
      </c>
      <c r="J21" s="1" t="s">
        <v>282</v>
      </c>
      <c r="K21" s="18">
        <v>149</v>
      </c>
      <c r="L21" s="18">
        <v>328</v>
      </c>
      <c r="M21" s="18">
        <f>IFERROR(Sales_Data_Analysis[[#This Row],[Gross_Sales]]-Sales_Data_Analysis[[#This Row],[Cost]],"No data")</f>
        <v>179</v>
      </c>
      <c r="N21" t="str">
        <f>IF(Sales_Data_Analysis[[#This Row],[Profit]]&lt;=Reference_Tables!$F$7,Reference_Tables!$G$7,IF(Sales_Data_Analysis[[#This Row],[Profit]]&lt;=Reference_Tables!$F$6,Reference_Tables!$G$6,IF(Sales_Data_Analysis[[#This Row],[Profit]]&lt;=Reference_Tables!$F$5,Reference_Tables!$G$5,Reference_Tables!$G$4)))</f>
        <v>Silver</v>
      </c>
      <c r="O21" s="19">
        <f>VLOOKUP(Sales_Data_Analysis[[#This Row],[Gross_Sales]],Table3[],2,TRUE)</f>
        <v>0</v>
      </c>
      <c r="P21" s="21">
        <f>EOMONTH(Sales_Data_Analysis[[#This Row],[Order_Date]],1)</f>
        <v>43496</v>
      </c>
      <c r="Q21" s="1">
        <f>NETWORKDAYS(Sales_Data_Analysis[[#This Row],[Order_Date]],Sales_Data_Analysis[[#This Row],[Delivery_Date]])</f>
        <v>9</v>
      </c>
    </row>
    <row r="22" spans="1:17" x14ac:dyDescent="0.25">
      <c r="A22" s="1" t="s">
        <v>131</v>
      </c>
      <c r="B22" s="1" t="s">
        <v>132</v>
      </c>
      <c r="C22" s="1">
        <f>MONTH(Sales_Data_Analysis[[#This Row],[Order_Date]])</f>
        <v>6</v>
      </c>
      <c r="D22" s="1">
        <f>YEAR(Sales_Data_Analysis[[#This Row],[Order_Date]])</f>
        <v>2018</v>
      </c>
      <c r="E22" s="2">
        <v>43290</v>
      </c>
      <c r="F22" s="1" t="s">
        <v>28</v>
      </c>
      <c r="G22" s="1" t="s">
        <v>312</v>
      </c>
      <c r="H22" s="1" t="s">
        <v>305</v>
      </c>
      <c r="I22" s="1" t="s">
        <v>20</v>
      </c>
      <c r="J22" s="1" t="s">
        <v>292</v>
      </c>
      <c r="K22" s="18">
        <v>992</v>
      </c>
      <c r="L22" s="18">
        <v>1510</v>
      </c>
      <c r="M22" s="18">
        <f>IFERROR(Sales_Data_Analysis[[#This Row],[Gross_Sales]]-Sales_Data_Analysis[[#This Row],[Cost]],"No data")</f>
        <v>518</v>
      </c>
      <c r="N22" t="str">
        <f>IF(Sales_Data_Analysis[[#This Row],[Profit]]&lt;=Reference_Tables!$F$7,Reference_Tables!$G$7,IF(Sales_Data_Analysis[[#This Row],[Profit]]&lt;=Reference_Tables!$F$6,Reference_Tables!$G$6,IF(Sales_Data_Analysis[[#This Row],[Profit]]&lt;=Reference_Tables!$F$5,Reference_Tables!$G$5,Reference_Tables!$G$4)))</f>
        <v>Gold</v>
      </c>
      <c r="O22" s="19">
        <f>VLOOKUP(Sales_Data_Analysis[[#This Row],[Gross_Sales]],Table3[],2,TRUE)</f>
        <v>0.1</v>
      </c>
      <c r="P22" s="21">
        <f>EOMONTH(Sales_Data_Analysis[[#This Row],[Order_Date]],1)</f>
        <v>43312</v>
      </c>
      <c r="Q22" s="1">
        <f>NETWORKDAYS(Sales_Data_Analysis[[#This Row],[Order_Date]],Sales_Data_Analysis[[#This Row],[Delivery_Date]])</f>
        <v>7</v>
      </c>
    </row>
    <row r="23" spans="1:17" x14ac:dyDescent="0.25">
      <c r="A23" s="1" t="s">
        <v>133</v>
      </c>
      <c r="B23" s="1" t="s">
        <v>134</v>
      </c>
      <c r="C23" s="1">
        <f>MONTH(Sales_Data_Analysis[[#This Row],[Order_Date]])</f>
        <v>8</v>
      </c>
      <c r="D23" s="1">
        <f>YEAR(Sales_Data_Analysis[[#This Row],[Order_Date]])</f>
        <v>2019</v>
      </c>
      <c r="E23" s="2">
        <v>43719</v>
      </c>
      <c r="F23" s="1" t="s">
        <v>9</v>
      </c>
      <c r="G23" s="1" t="s">
        <v>314</v>
      </c>
      <c r="H23" s="1" t="s">
        <v>306</v>
      </c>
      <c r="I23" s="1" t="s">
        <v>33</v>
      </c>
      <c r="J23" s="1" t="s">
        <v>300</v>
      </c>
      <c r="K23" s="18">
        <v>782</v>
      </c>
      <c r="L23" s="18">
        <v>1527</v>
      </c>
      <c r="M23" s="18">
        <f>IFERROR(Sales_Data_Analysis[[#This Row],[Gross_Sales]]-Sales_Data_Analysis[[#This Row],[Cost]],"No data")</f>
        <v>745</v>
      </c>
      <c r="N23" t="str">
        <f>IF(Sales_Data_Analysis[[#This Row],[Profit]]&lt;=Reference_Tables!$F$7,Reference_Tables!$G$7,IF(Sales_Data_Analysis[[#This Row],[Profit]]&lt;=Reference_Tables!$F$6,Reference_Tables!$G$6,IF(Sales_Data_Analysis[[#This Row],[Profit]]&lt;=Reference_Tables!$F$5,Reference_Tables!$G$5,Reference_Tables!$G$4)))</f>
        <v>Platinum</v>
      </c>
      <c r="O23" s="19">
        <f>VLOOKUP(Sales_Data_Analysis[[#This Row],[Gross_Sales]],Table3[],2,TRUE)</f>
        <v>0.1</v>
      </c>
      <c r="P23" s="21">
        <f>EOMONTH(Sales_Data_Analysis[[#This Row],[Order_Date]],1)</f>
        <v>43738</v>
      </c>
      <c r="Q23" s="1">
        <f>NETWORKDAYS(Sales_Data_Analysis[[#This Row],[Order_Date]],Sales_Data_Analysis[[#This Row],[Delivery_Date]])</f>
        <v>10</v>
      </c>
    </row>
    <row r="24" spans="1:17" x14ac:dyDescent="0.25">
      <c r="A24" s="1" t="s">
        <v>141</v>
      </c>
      <c r="B24" s="1" t="s">
        <v>142</v>
      </c>
      <c r="C24" s="1">
        <f>MONTH(Sales_Data_Analysis[[#This Row],[Order_Date]])</f>
        <v>7</v>
      </c>
      <c r="D24" s="1">
        <f>YEAR(Sales_Data_Analysis[[#This Row],[Order_Date]])</f>
        <v>2019</v>
      </c>
      <c r="E24" s="2">
        <v>43665</v>
      </c>
      <c r="F24" s="1" t="s">
        <v>44</v>
      </c>
      <c r="G24" s="1" t="s">
        <v>315</v>
      </c>
      <c r="H24" s="1" t="s">
        <v>305</v>
      </c>
      <c r="I24" s="1" t="s">
        <v>33</v>
      </c>
      <c r="J24" s="1" t="s">
        <v>300</v>
      </c>
      <c r="K24" s="18">
        <v>857</v>
      </c>
      <c r="L24" s="18">
        <v>1251</v>
      </c>
      <c r="M24" s="18">
        <f>IFERROR(Sales_Data_Analysis[[#This Row],[Gross_Sales]]-Sales_Data_Analysis[[#This Row],[Cost]],"No data")</f>
        <v>394</v>
      </c>
      <c r="N24" t="str">
        <f>IF(Sales_Data_Analysis[[#This Row],[Profit]]&lt;=Reference_Tables!$F$7,Reference_Tables!$G$7,IF(Sales_Data_Analysis[[#This Row],[Profit]]&lt;=Reference_Tables!$F$6,Reference_Tables!$G$6,IF(Sales_Data_Analysis[[#This Row],[Profit]]&lt;=Reference_Tables!$F$5,Reference_Tables!$G$5,Reference_Tables!$G$4)))</f>
        <v>Gold</v>
      </c>
      <c r="O24" s="19">
        <f>VLOOKUP(Sales_Data_Analysis[[#This Row],[Gross_Sales]],Table3[],2,TRUE)</f>
        <v>0.05</v>
      </c>
      <c r="P24" s="21">
        <f>EOMONTH(Sales_Data_Analysis[[#This Row],[Order_Date]],1)</f>
        <v>43708</v>
      </c>
      <c r="Q24" s="1">
        <f>NETWORKDAYS(Sales_Data_Analysis[[#This Row],[Order_Date]],Sales_Data_Analysis[[#This Row],[Delivery_Date]])</f>
        <v>5</v>
      </c>
    </row>
    <row r="25" spans="1:17" x14ac:dyDescent="0.25">
      <c r="A25" s="1" t="s">
        <v>143</v>
      </c>
      <c r="B25" s="1" t="s">
        <v>144</v>
      </c>
      <c r="C25" s="1">
        <f>MONTH(Sales_Data_Analysis[[#This Row],[Order_Date]])</f>
        <v>12</v>
      </c>
      <c r="D25" s="1">
        <f>YEAR(Sales_Data_Analysis[[#This Row],[Order_Date]])</f>
        <v>2018</v>
      </c>
      <c r="E25" s="2">
        <v>43472</v>
      </c>
      <c r="F25" s="1" t="s">
        <v>9</v>
      </c>
      <c r="G25" s="1" t="s">
        <v>314</v>
      </c>
      <c r="H25" s="1" t="s">
        <v>306</v>
      </c>
      <c r="I25" s="1" t="s">
        <v>10</v>
      </c>
      <c r="J25" s="1" t="s">
        <v>280</v>
      </c>
      <c r="K25" s="18">
        <v>493</v>
      </c>
      <c r="L25" s="18">
        <v>586</v>
      </c>
      <c r="M25" s="18">
        <f>IFERROR(Sales_Data_Analysis[[#This Row],[Gross_Sales]]-Sales_Data_Analysis[[#This Row],[Cost]],"No data")</f>
        <v>93</v>
      </c>
      <c r="N25" t="str">
        <f>IF(Sales_Data_Analysis[[#This Row],[Profit]]&lt;=Reference_Tables!$F$7,Reference_Tables!$G$7,IF(Sales_Data_Analysis[[#This Row],[Profit]]&lt;=Reference_Tables!$F$6,Reference_Tables!$G$6,IF(Sales_Data_Analysis[[#This Row],[Profit]]&lt;=Reference_Tables!$F$5,Reference_Tables!$G$5,Reference_Tables!$G$4)))</f>
        <v>Silver</v>
      </c>
      <c r="O25" s="19">
        <f>VLOOKUP(Sales_Data_Analysis[[#This Row],[Gross_Sales]],Table3[],2,TRUE)</f>
        <v>0.02</v>
      </c>
      <c r="P25" s="21">
        <f>EOMONTH(Sales_Data_Analysis[[#This Row],[Order_Date]],1)</f>
        <v>43496</v>
      </c>
      <c r="Q25" s="1">
        <f>NETWORKDAYS(Sales_Data_Analysis[[#This Row],[Order_Date]],Sales_Data_Analysis[[#This Row],[Delivery_Date]])</f>
        <v>6</v>
      </c>
    </row>
    <row r="26" spans="1:17" x14ac:dyDescent="0.25">
      <c r="A26" s="1" t="s">
        <v>147</v>
      </c>
      <c r="B26" s="1" t="s">
        <v>148</v>
      </c>
      <c r="C26" s="1">
        <f>MONTH(Sales_Data_Analysis[[#This Row],[Order_Date]])</f>
        <v>4</v>
      </c>
      <c r="D26" s="1">
        <f>YEAR(Sales_Data_Analysis[[#This Row],[Order_Date]])</f>
        <v>2018</v>
      </c>
      <c r="E26" s="2">
        <v>43223</v>
      </c>
      <c r="F26" s="1" t="s">
        <v>63</v>
      </c>
      <c r="G26" s="1" t="s">
        <v>318</v>
      </c>
      <c r="H26" s="1" t="s">
        <v>306</v>
      </c>
      <c r="I26" s="1" t="s">
        <v>20</v>
      </c>
      <c r="J26" s="1" t="s">
        <v>296</v>
      </c>
      <c r="K26" s="18">
        <v>291</v>
      </c>
      <c r="L26" s="18">
        <v>405</v>
      </c>
      <c r="M26" s="18">
        <f>IFERROR(Sales_Data_Analysis[[#This Row],[Gross_Sales]]-Sales_Data_Analysis[[#This Row],[Cost]],"No data")</f>
        <v>114</v>
      </c>
      <c r="N26" t="str">
        <f>IF(Sales_Data_Analysis[[#This Row],[Profit]]&lt;=Reference_Tables!$F$7,Reference_Tables!$G$7,IF(Sales_Data_Analysis[[#This Row],[Profit]]&lt;=Reference_Tables!$F$6,Reference_Tables!$G$6,IF(Sales_Data_Analysis[[#This Row],[Profit]]&lt;=Reference_Tables!$F$5,Reference_Tables!$G$5,Reference_Tables!$G$4)))</f>
        <v>Silver</v>
      </c>
      <c r="O26" s="19">
        <f>VLOOKUP(Sales_Data_Analysis[[#This Row],[Gross_Sales]],Table3[],2,TRUE)</f>
        <v>0</v>
      </c>
      <c r="P26" s="21">
        <f>EOMONTH(Sales_Data_Analysis[[#This Row],[Order_Date]],1)</f>
        <v>43251</v>
      </c>
      <c r="Q26" s="1">
        <f>NETWORKDAYS(Sales_Data_Analysis[[#This Row],[Order_Date]],Sales_Data_Analysis[[#This Row],[Delivery_Date]])</f>
        <v>5</v>
      </c>
    </row>
    <row r="27" spans="1:17" x14ac:dyDescent="0.25">
      <c r="A27" s="1" t="s">
        <v>149</v>
      </c>
      <c r="B27" s="1" t="s">
        <v>150</v>
      </c>
      <c r="C27" s="1">
        <f>MONTH(Sales_Data_Analysis[[#This Row],[Order_Date]])</f>
        <v>2</v>
      </c>
      <c r="D27" s="1">
        <f>YEAR(Sales_Data_Analysis[[#This Row],[Order_Date]])</f>
        <v>2019</v>
      </c>
      <c r="E27" s="2">
        <v>43508</v>
      </c>
      <c r="F27" s="1" t="s">
        <v>50</v>
      </c>
      <c r="G27" s="1" t="s">
        <v>319</v>
      </c>
      <c r="H27" s="1" t="s">
        <v>304</v>
      </c>
      <c r="I27" s="1" t="s">
        <v>15</v>
      </c>
      <c r="J27" s="1" t="s">
        <v>284</v>
      </c>
      <c r="K27" s="18">
        <v>370</v>
      </c>
      <c r="L27" s="18">
        <v>900</v>
      </c>
      <c r="M27" s="18">
        <f>IFERROR(Sales_Data_Analysis[[#This Row],[Gross_Sales]]-Sales_Data_Analysis[[#This Row],[Cost]],"No data")</f>
        <v>530</v>
      </c>
      <c r="N27" t="str">
        <f>IF(Sales_Data_Analysis[[#This Row],[Profit]]&lt;=Reference_Tables!$F$7,Reference_Tables!$G$7,IF(Sales_Data_Analysis[[#This Row],[Profit]]&lt;=Reference_Tables!$F$6,Reference_Tables!$G$6,IF(Sales_Data_Analysis[[#This Row],[Profit]]&lt;=Reference_Tables!$F$5,Reference_Tables!$G$5,Reference_Tables!$G$4)))</f>
        <v>Gold</v>
      </c>
      <c r="O27" s="19">
        <f>VLOOKUP(Sales_Data_Analysis[[#This Row],[Gross_Sales]],Table3[],2,TRUE)</f>
        <v>0.02</v>
      </c>
      <c r="P27" s="21">
        <f>EOMONTH(Sales_Data_Analysis[[#This Row],[Order_Date]],1)</f>
        <v>43555</v>
      </c>
      <c r="Q27" s="1">
        <f>NETWORKDAYS(Sales_Data_Analysis[[#This Row],[Order_Date]],Sales_Data_Analysis[[#This Row],[Delivery_Date]])</f>
        <v>5</v>
      </c>
    </row>
    <row r="28" spans="1:17" x14ac:dyDescent="0.25">
      <c r="A28" s="1" t="s">
        <v>152</v>
      </c>
      <c r="B28" s="1" t="s">
        <v>153</v>
      </c>
      <c r="C28" s="1">
        <f>MONTH(Sales_Data_Analysis[[#This Row],[Order_Date]])</f>
        <v>10</v>
      </c>
      <c r="D28" s="1">
        <f>YEAR(Sales_Data_Analysis[[#This Row],[Order_Date]])</f>
        <v>2019</v>
      </c>
      <c r="E28" s="2">
        <v>43753</v>
      </c>
      <c r="F28" s="1" t="s">
        <v>9</v>
      </c>
      <c r="G28" s="1" t="s">
        <v>314</v>
      </c>
      <c r="H28" s="1" t="s">
        <v>306</v>
      </c>
      <c r="I28" s="1" t="s">
        <v>15</v>
      </c>
      <c r="J28" s="1" t="s">
        <v>284</v>
      </c>
      <c r="K28" s="18">
        <v>899</v>
      </c>
      <c r="L28" s="18">
        <v>1170</v>
      </c>
      <c r="M28" s="18">
        <f>IFERROR(Sales_Data_Analysis[[#This Row],[Gross_Sales]]-Sales_Data_Analysis[[#This Row],[Cost]],"No data")</f>
        <v>271</v>
      </c>
      <c r="N28" t="str">
        <f>IF(Sales_Data_Analysis[[#This Row],[Profit]]&lt;=Reference_Tables!$F$7,Reference_Tables!$G$7,IF(Sales_Data_Analysis[[#This Row],[Profit]]&lt;=Reference_Tables!$F$6,Reference_Tables!$G$6,IF(Sales_Data_Analysis[[#This Row],[Profit]]&lt;=Reference_Tables!$F$5,Reference_Tables!$G$5,Reference_Tables!$G$4)))</f>
        <v>Silver</v>
      </c>
      <c r="O28" s="19">
        <f>VLOOKUP(Sales_Data_Analysis[[#This Row],[Gross_Sales]],Table3[],2,TRUE)</f>
        <v>0.05</v>
      </c>
      <c r="P28" s="21">
        <f>EOMONTH(Sales_Data_Analysis[[#This Row],[Order_Date]],1)</f>
        <v>43799</v>
      </c>
      <c r="Q28" s="1">
        <f>NETWORKDAYS(Sales_Data_Analysis[[#This Row],[Order_Date]],Sales_Data_Analysis[[#This Row],[Delivery_Date]])</f>
        <v>2</v>
      </c>
    </row>
    <row r="29" spans="1:17" x14ac:dyDescent="0.25">
      <c r="A29" s="1" t="s">
        <v>154</v>
      </c>
      <c r="B29" s="1" t="s">
        <v>155</v>
      </c>
      <c r="C29" s="1">
        <f>MONTH(Sales_Data_Analysis[[#This Row],[Order_Date]])</f>
        <v>6</v>
      </c>
      <c r="D29" s="1">
        <f>YEAR(Sales_Data_Analysis[[#This Row],[Order_Date]])</f>
        <v>2019</v>
      </c>
      <c r="E29" s="2">
        <v>43647</v>
      </c>
      <c r="F29" s="1" t="s">
        <v>32</v>
      </c>
      <c r="G29" s="1" t="s">
        <v>317</v>
      </c>
      <c r="H29" s="1" t="s">
        <v>307</v>
      </c>
      <c r="I29" s="1" t="s">
        <v>15</v>
      </c>
      <c r="J29" s="1" t="s">
        <v>284</v>
      </c>
      <c r="K29" s="18">
        <v>425</v>
      </c>
      <c r="L29" s="18">
        <v>864</v>
      </c>
      <c r="M29" s="18">
        <f>IFERROR(Sales_Data_Analysis[[#This Row],[Gross_Sales]]-Sales_Data_Analysis[[#This Row],[Cost]],"No data")</f>
        <v>439</v>
      </c>
      <c r="N29" t="str">
        <f>IF(Sales_Data_Analysis[[#This Row],[Profit]]&lt;=Reference_Tables!$F$7,Reference_Tables!$G$7,IF(Sales_Data_Analysis[[#This Row],[Profit]]&lt;=Reference_Tables!$F$6,Reference_Tables!$G$6,IF(Sales_Data_Analysis[[#This Row],[Profit]]&lt;=Reference_Tables!$F$5,Reference_Tables!$G$5,Reference_Tables!$G$4)))</f>
        <v>Gold</v>
      </c>
      <c r="O29" s="19">
        <f>VLOOKUP(Sales_Data_Analysis[[#This Row],[Gross_Sales]],Table3[],2,TRUE)</f>
        <v>0.02</v>
      </c>
      <c r="P29" s="21">
        <f>EOMONTH(Sales_Data_Analysis[[#This Row],[Order_Date]],1)</f>
        <v>43677</v>
      </c>
      <c r="Q29" s="1">
        <f>NETWORKDAYS(Sales_Data_Analysis[[#This Row],[Order_Date]],Sales_Data_Analysis[[#This Row],[Delivery_Date]])</f>
        <v>1</v>
      </c>
    </row>
    <row r="30" spans="1:17" x14ac:dyDescent="0.25">
      <c r="A30" s="1" t="s">
        <v>158</v>
      </c>
      <c r="B30" s="1" t="s">
        <v>159</v>
      </c>
      <c r="C30" s="1">
        <f>MONTH(Sales_Data_Analysis[[#This Row],[Order_Date]])</f>
        <v>6</v>
      </c>
      <c r="D30" s="1">
        <f>YEAR(Sales_Data_Analysis[[#This Row],[Order_Date]])</f>
        <v>2019</v>
      </c>
      <c r="E30" s="2">
        <v>43642</v>
      </c>
      <c r="F30" s="1" t="s">
        <v>28</v>
      </c>
      <c r="G30" s="1" t="s">
        <v>312</v>
      </c>
      <c r="H30" s="1" t="s">
        <v>305</v>
      </c>
      <c r="I30" s="1" t="s">
        <v>10</v>
      </c>
      <c r="J30" s="1" t="s">
        <v>276</v>
      </c>
      <c r="K30" s="18">
        <v>152</v>
      </c>
      <c r="L30" s="18">
        <v>937</v>
      </c>
      <c r="M30" s="18">
        <f>IFERROR(Sales_Data_Analysis[[#This Row],[Gross_Sales]]-Sales_Data_Analysis[[#This Row],[Cost]],"No data")</f>
        <v>785</v>
      </c>
      <c r="N30" t="str">
        <f>IF(Sales_Data_Analysis[[#This Row],[Profit]]&lt;=Reference_Tables!$F$7,Reference_Tables!$G$7,IF(Sales_Data_Analysis[[#This Row],[Profit]]&lt;=Reference_Tables!$F$6,Reference_Tables!$G$6,IF(Sales_Data_Analysis[[#This Row],[Profit]]&lt;=Reference_Tables!$F$5,Reference_Tables!$G$5,Reference_Tables!$G$4)))</f>
        <v>Platinum</v>
      </c>
      <c r="O30" s="19">
        <f>VLOOKUP(Sales_Data_Analysis[[#This Row],[Gross_Sales]],Table3[],2,TRUE)</f>
        <v>0.02</v>
      </c>
      <c r="P30" s="21">
        <f>EOMONTH(Sales_Data_Analysis[[#This Row],[Order_Date]],1)</f>
        <v>43677</v>
      </c>
      <c r="Q30" s="1">
        <f>NETWORKDAYS(Sales_Data_Analysis[[#This Row],[Order_Date]],Sales_Data_Analysis[[#This Row],[Delivery_Date]])</f>
        <v>10</v>
      </c>
    </row>
    <row r="31" spans="1:17" x14ac:dyDescent="0.25">
      <c r="A31" s="1" t="s">
        <v>160</v>
      </c>
      <c r="B31" s="1" t="s">
        <v>161</v>
      </c>
      <c r="C31" s="1">
        <f>MONTH(Sales_Data_Analysis[[#This Row],[Order_Date]])</f>
        <v>12</v>
      </c>
      <c r="D31" s="1">
        <f>YEAR(Sales_Data_Analysis[[#This Row],[Order_Date]])</f>
        <v>2018</v>
      </c>
      <c r="E31" s="2">
        <v>43465</v>
      </c>
      <c r="F31" s="1" t="s">
        <v>24</v>
      </c>
      <c r="G31" s="1" t="s">
        <v>311</v>
      </c>
      <c r="H31" s="1" t="s">
        <v>304</v>
      </c>
      <c r="I31" s="1" t="s">
        <v>20</v>
      </c>
      <c r="J31" s="1" t="s">
        <v>292</v>
      </c>
      <c r="K31" s="18">
        <v>460</v>
      </c>
      <c r="L31" s="18">
        <v>1052</v>
      </c>
      <c r="M31" s="18">
        <f>IFERROR(Sales_Data_Analysis[[#This Row],[Gross_Sales]]-Sales_Data_Analysis[[#This Row],[Cost]],"No data")</f>
        <v>592</v>
      </c>
      <c r="N31" t="str">
        <f>IF(Sales_Data_Analysis[[#This Row],[Profit]]&lt;=Reference_Tables!$F$7,Reference_Tables!$G$7,IF(Sales_Data_Analysis[[#This Row],[Profit]]&lt;=Reference_Tables!$F$6,Reference_Tables!$G$6,IF(Sales_Data_Analysis[[#This Row],[Profit]]&lt;=Reference_Tables!$F$5,Reference_Tables!$G$5,Reference_Tables!$G$4)))</f>
        <v>Gold</v>
      </c>
      <c r="O31" s="19">
        <f>VLOOKUP(Sales_Data_Analysis[[#This Row],[Gross_Sales]],Table3[],2,TRUE)</f>
        <v>0.05</v>
      </c>
      <c r="P31" s="21">
        <f>EOMONTH(Sales_Data_Analysis[[#This Row],[Order_Date]],1)</f>
        <v>43496</v>
      </c>
      <c r="Q31" s="1">
        <f>NETWORKDAYS(Sales_Data_Analysis[[#This Row],[Order_Date]],Sales_Data_Analysis[[#This Row],[Delivery_Date]])</f>
        <v>9</v>
      </c>
    </row>
    <row r="32" spans="1:17" x14ac:dyDescent="0.25">
      <c r="A32" s="1" t="s">
        <v>162</v>
      </c>
      <c r="B32" s="1" t="s">
        <v>163</v>
      </c>
      <c r="C32" s="1">
        <f>MONTH(Sales_Data_Analysis[[#This Row],[Order_Date]])</f>
        <v>1</v>
      </c>
      <c r="D32" s="1">
        <f>YEAR(Sales_Data_Analysis[[#This Row],[Order_Date]])</f>
        <v>2019</v>
      </c>
      <c r="E32" s="2">
        <v>43491</v>
      </c>
      <c r="F32" s="1" t="s">
        <v>53</v>
      </c>
      <c r="G32" s="1" t="s">
        <v>313</v>
      </c>
      <c r="H32" s="1" t="s">
        <v>304</v>
      </c>
      <c r="I32" s="1" t="s">
        <v>15</v>
      </c>
      <c r="J32" s="1" t="s">
        <v>286</v>
      </c>
      <c r="K32" s="18">
        <v>170</v>
      </c>
      <c r="L32" s="18">
        <v>483</v>
      </c>
      <c r="M32" s="18">
        <f>IFERROR(Sales_Data_Analysis[[#This Row],[Gross_Sales]]-Sales_Data_Analysis[[#This Row],[Cost]],"No data")</f>
        <v>313</v>
      </c>
      <c r="N32" t="str">
        <f>IF(Sales_Data_Analysis[[#This Row],[Profit]]&lt;=Reference_Tables!$F$7,Reference_Tables!$G$7,IF(Sales_Data_Analysis[[#This Row],[Profit]]&lt;=Reference_Tables!$F$6,Reference_Tables!$G$6,IF(Sales_Data_Analysis[[#This Row],[Profit]]&lt;=Reference_Tables!$F$5,Reference_Tables!$G$5,Reference_Tables!$G$4)))</f>
        <v>Gold</v>
      </c>
      <c r="O32" s="19">
        <f>VLOOKUP(Sales_Data_Analysis[[#This Row],[Gross_Sales]],Table3[],2,TRUE)</f>
        <v>0</v>
      </c>
      <c r="P32" s="21">
        <f>EOMONTH(Sales_Data_Analysis[[#This Row],[Order_Date]],1)</f>
        <v>43524</v>
      </c>
      <c r="Q32" s="1">
        <f>NETWORKDAYS(Sales_Data_Analysis[[#This Row],[Order_Date]],Sales_Data_Analysis[[#This Row],[Delivery_Date]])</f>
        <v>5</v>
      </c>
    </row>
    <row r="33" spans="1:17" x14ac:dyDescent="0.25">
      <c r="A33" s="1" t="s">
        <v>166</v>
      </c>
      <c r="B33" s="1" t="s">
        <v>40</v>
      </c>
      <c r="C33" s="1">
        <f>MONTH(Sales_Data_Analysis[[#This Row],[Order_Date]])</f>
        <v>9</v>
      </c>
      <c r="D33" s="1">
        <f>YEAR(Sales_Data_Analysis[[#This Row],[Order_Date]])</f>
        <v>2019</v>
      </c>
      <c r="E33" s="2">
        <v>43739</v>
      </c>
      <c r="F33" s="1" t="s">
        <v>24</v>
      </c>
      <c r="G33" s="1" t="s">
        <v>311</v>
      </c>
      <c r="H33" s="1" t="s">
        <v>304</v>
      </c>
      <c r="I33" s="1" t="s">
        <v>20</v>
      </c>
      <c r="J33" s="1" t="s">
        <v>294</v>
      </c>
      <c r="K33" s="18">
        <v>819</v>
      </c>
      <c r="L33" s="18">
        <v>1144</v>
      </c>
      <c r="M33" s="18">
        <f>IFERROR(Sales_Data_Analysis[[#This Row],[Gross_Sales]]-Sales_Data_Analysis[[#This Row],[Cost]],"No data")</f>
        <v>325</v>
      </c>
      <c r="N33" t="str">
        <f>IF(Sales_Data_Analysis[[#This Row],[Profit]]&lt;=Reference_Tables!$F$7,Reference_Tables!$G$7,IF(Sales_Data_Analysis[[#This Row],[Profit]]&lt;=Reference_Tables!$F$6,Reference_Tables!$G$6,IF(Sales_Data_Analysis[[#This Row],[Profit]]&lt;=Reference_Tables!$F$5,Reference_Tables!$G$5,Reference_Tables!$G$4)))</f>
        <v>Gold</v>
      </c>
      <c r="O33" s="19">
        <f>VLOOKUP(Sales_Data_Analysis[[#This Row],[Gross_Sales]],Table3[],2,TRUE)</f>
        <v>0.05</v>
      </c>
      <c r="P33" s="21">
        <f>EOMONTH(Sales_Data_Analysis[[#This Row],[Order_Date]],1)</f>
        <v>43769</v>
      </c>
      <c r="Q33" s="1">
        <f>NETWORKDAYS(Sales_Data_Analysis[[#This Row],[Order_Date]],Sales_Data_Analysis[[#This Row],[Delivery_Date]])</f>
        <v>2</v>
      </c>
    </row>
    <row r="34" spans="1:17" x14ac:dyDescent="0.25">
      <c r="A34" s="1" t="s">
        <v>171</v>
      </c>
      <c r="B34" s="1" t="s">
        <v>172</v>
      </c>
      <c r="C34" s="1">
        <f>MONTH(Sales_Data_Analysis[[#This Row],[Order_Date]])</f>
        <v>10</v>
      </c>
      <c r="D34" s="1">
        <f>YEAR(Sales_Data_Analysis[[#This Row],[Order_Date]])</f>
        <v>2019</v>
      </c>
      <c r="E34" s="2">
        <v>43764</v>
      </c>
      <c r="F34" s="1" t="s">
        <v>50</v>
      </c>
      <c r="G34" s="1" t="s">
        <v>319</v>
      </c>
      <c r="H34" s="1" t="s">
        <v>304</v>
      </c>
      <c r="I34" s="1" t="s">
        <v>33</v>
      </c>
      <c r="J34" s="1" t="s">
        <v>300</v>
      </c>
      <c r="K34" s="18">
        <v>916</v>
      </c>
      <c r="L34" s="18">
        <v>1411</v>
      </c>
      <c r="M34" s="18">
        <f>IFERROR(Sales_Data_Analysis[[#This Row],[Gross_Sales]]-Sales_Data_Analysis[[#This Row],[Cost]],"No data")</f>
        <v>495</v>
      </c>
      <c r="N34" t="str">
        <f>IF(Sales_Data_Analysis[[#This Row],[Profit]]&lt;=Reference_Tables!$F$7,Reference_Tables!$G$7,IF(Sales_Data_Analysis[[#This Row],[Profit]]&lt;=Reference_Tables!$F$6,Reference_Tables!$G$6,IF(Sales_Data_Analysis[[#This Row],[Profit]]&lt;=Reference_Tables!$F$5,Reference_Tables!$G$5,Reference_Tables!$G$4)))</f>
        <v>Gold</v>
      </c>
      <c r="O34" s="19">
        <f>VLOOKUP(Sales_Data_Analysis[[#This Row],[Gross_Sales]],Table3[],2,TRUE)</f>
        <v>0.05</v>
      </c>
      <c r="P34" s="21">
        <f>EOMONTH(Sales_Data_Analysis[[#This Row],[Order_Date]],1)</f>
        <v>43799</v>
      </c>
      <c r="Q34" s="1">
        <f>NETWORKDAYS(Sales_Data_Analysis[[#This Row],[Order_Date]],Sales_Data_Analysis[[#This Row],[Delivery_Date]])</f>
        <v>7</v>
      </c>
    </row>
    <row r="35" spans="1:17" x14ac:dyDescent="0.25">
      <c r="A35" s="1" t="s">
        <v>175</v>
      </c>
      <c r="B35" s="1" t="s">
        <v>176</v>
      </c>
      <c r="C35" s="1">
        <f>MONTH(Sales_Data_Analysis[[#This Row],[Order_Date]])</f>
        <v>6</v>
      </c>
      <c r="D35" s="1">
        <f>YEAR(Sales_Data_Analysis[[#This Row],[Order_Date]])</f>
        <v>2019</v>
      </c>
      <c r="E35" s="2">
        <v>43636</v>
      </c>
      <c r="F35" s="1" t="s">
        <v>50</v>
      </c>
      <c r="G35" s="1" t="s">
        <v>319</v>
      </c>
      <c r="H35" s="1" t="s">
        <v>304</v>
      </c>
      <c r="I35" s="1" t="s">
        <v>37</v>
      </c>
      <c r="J35" s="1" t="s">
        <v>270</v>
      </c>
      <c r="K35" s="18">
        <v>699</v>
      </c>
      <c r="L35" s="18">
        <v>1176</v>
      </c>
      <c r="M35" s="18">
        <f>IFERROR(Sales_Data_Analysis[[#This Row],[Gross_Sales]]-Sales_Data_Analysis[[#This Row],[Cost]],"No data")</f>
        <v>477</v>
      </c>
      <c r="N35" t="str">
        <f>IF(Sales_Data_Analysis[[#This Row],[Profit]]&lt;=Reference_Tables!$F$7,Reference_Tables!$G$7,IF(Sales_Data_Analysis[[#This Row],[Profit]]&lt;=Reference_Tables!$F$6,Reference_Tables!$G$6,IF(Sales_Data_Analysis[[#This Row],[Profit]]&lt;=Reference_Tables!$F$5,Reference_Tables!$G$5,Reference_Tables!$G$4)))</f>
        <v>Gold</v>
      </c>
      <c r="O35" s="19">
        <f>VLOOKUP(Sales_Data_Analysis[[#This Row],[Gross_Sales]],Table3[],2,TRUE)</f>
        <v>0.05</v>
      </c>
      <c r="P35" s="21">
        <f>EOMONTH(Sales_Data_Analysis[[#This Row],[Order_Date]],1)</f>
        <v>43677</v>
      </c>
      <c r="Q35" s="1">
        <f>NETWORKDAYS(Sales_Data_Analysis[[#This Row],[Order_Date]],Sales_Data_Analysis[[#This Row],[Delivery_Date]])</f>
        <v>7</v>
      </c>
    </row>
    <row r="36" spans="1:17" x14ac:dyDescent="0.25">
      <c r="A36" s="1" t="s">
        <v>178</v>
      </c>
      <c r="B36" s="1" t="s">
        <v>89</v>
      </c>
      <c r="C36" s="1">
        <f>MONTH(Sales_Data_Analysis[[#This Row],[Order_Date]])</f>
        <v>3</v>
      </c>
      <c r="D36" s="1">
        <f>YEAR(Sales_Data_Analysis[[#This Row],[Order_Date]])</f>
        <v>2019</v>
      </c>
      <c r="E36" s="2">
        <v>43539</v>
      </c>
      <c r="F36" s="1" t="s">
        <v>44</v>
      </c>
      <c r="G36" s="1" t="s">
        <v>315</v>
      </c>
      <c r="H36" s="1" t="s">
        <v>305</v>
      </c>
      <c r="I36" s="1" t="s">
        <v>15</v>
      </c>
      <c r="J36" s="1" t="s">
        <v>284</v>
      </c>
      <c r="K36" s="18">
        <v>206</v>
      </c>
      <c r="L36" s="18">
        <v>656</v>
      </c>
      <c r="M36" s="18">
        <f>IFERROR(Sales_Data_Analysis[[#This Row],[Gross_Sales]]-Sales_Data_Analysis[[#This Row],[Cost]],"No data")</f>
        <v>450</v>
      </c>
      <c r="N36" t="str">
        <f>IF(Sales_Data_Analysis[[#This Row],[Profit]]&lt;=Reference_Tables!$F$7,Reference_Tables!$G$7,IF(Sales_Data_Analysis[[#This Row],[Profit]]&lt;=Reference_Tables!$F$6,Reference_Tables!$G$6,IF(Sales_Data_Analysis[[#This Row],[Profit]]&lt;=Reference_Tables!$F$5,Reference_Tables!$G$5,Reference_Tables!$G$4)))</f>
        <v>Gold</v>
      </c>
      <c r="O36" s="19">
        <f>VLOOKUP(Sales_Data_Analysis[[#This Row],[Gross_Sales]],Table3[],2,TRUE)</f>
        <v>0.02</v>
      </c>
      <c r="P36" s="21">
        <f>EOMONTH(Sales_Data_Analysis[[#This Row],[Order_Date]],1)</f>
        <v>43585</v>
      </c>
      <c r="Q36" s="1">
        <f>NETWORKDAYS(Sales_Data_Analysis[[#This Row],[Order_Date]],Sales_Data_Analysis[[#This Row],[Delivery_Date]])</f>
        <v>5</v>
      </c>
    </row>
    <row r="37" spans="1:17" x14ac:dyDescent="0.25">
      <c r="A37" s="1" t="s">
        <v>179</v>
      </c>
      <c r="B37" s="1" t="s">
        <v>180</v>
      </c>
      <c r="C37" s="1">
        <f>MONTH(Sales_Data_Analysis[[#This Row],[Order_Date]])</f>
        <v>1</v>
      </c>
      <c r="D37" s="1">
        <f>YEAR(Sales_Data_Analysis[[#This Row],[Order_Date]])</f>
        <v>2019</v>
      </c>
      <c r="E37" s="2">
        <v>43499</v>
      </c>
      <c r="F37" s="1" t="s">
        <v>19</v>
      </c>
      <c r="G37" s="1" t="s">
        <v>316</v>
      </c>
      <c r="H37" s="1" t="s">
        <v>306</v>
      </c>
      <c r="I37" s="1" t="s">
        <v>15</v>
      </c>
      <c r="J37" s="1" t="s">
        <v>290</v>
      </c>
      <c r="K37" s="18">
        <v>667</v>
      </c>
      <c r="L37" s="18">
        <v>881</v>
      </c>
      <c r="M37" s="18">
        <f>IFERROR(Sales_Data_Analysis[[#This Row],[Gross_Sales]]-Sales_Data_Analysis[[#This Row],[Cost]],"No data")</f>
        <v>214</v>
      </c>
      <c r="N37" t="str">
        <f>IF(Sales_Data_Analysis[[#This Row],[Profit]]&lt;=Reference_Tables!$F$7,Reference_Tables!$G$7,IF(Sales_Data_Analysis[[#This Row],[Profit]]&lt;=Reference_Tables!$F$6,Reference_Tables!$G$6,IF(Sales_Data_Analysis[[#This Row],[Profit]]&lt;=Reference_Tables!$F$5,Reference_Tables!$G$5,Reference_Tables!$G$4)))</f>
        <v>Silver</v>
      </c>
      <c r="O37" s="19">
        <f>VLOOKUP(Sales_Data_Analysis[[#This Row],[Gross_Sales]],Table3[],2,TRUE)</f>
        <v>0.02</v>
      </c>
      <c r="P37" s="21">
        <f>EOMONTH(Sales_Data_Analysis[[#This Row],[Order_Date]],1)</f>
        <v>43524</v>
      </c>
      <c r="Q37" s="1">
        <f>NETWORKDAYS(Sales_Data_Analysis[[#This Row],[Order_Date]],Sales_Data_Analysis[[#This Row],[Delivery_Date]])</f>
        <v>5</v>
      </c>
    </row>
    <row r="38" spans="1:17" x14ac:dyDescent="0.25">
      <c r="A38" s="1" t="s">
        <v>187</v>
      </c>
      <c r="B38" s="1" t="s">
        <v>188</v>
      </c>
      <c r="C38" s="1">
        <f>MONTH(Sales_Data_Analysis[[#This Row],[Order_Date]])</f>
        <v>9</v>
      </c>
      <c r="D38" s="1">
        <f>YEAR(Sales_Data_Analysis[[#This Row],[Order_Date]])</f>
        <v>2018</v>
      </c>
      <c r="E38" s="2">
        <v>43355</v>
      </c>
      <c r="F38" s="1" t="s">
        <v>24</v>
      </c>
      <c r="G38" s="1" t="s">
        <v>311</v>
      </c>
      <c r="H38" s="1" t="s">
        <v>304</v>
      </c>
      <c r="I38" s="1" t="s">
        <v>15</v>
      </c>
      <c r="J38" s="1" t="s">
        <v>286</v>
      </c>
      <c r="K38" s="18">
        <v>522</v>
      </c>
      <c r="L38" s="18">
        <v>746</v>
      </c>
      <c r="M38" s="18">
        <f>IFERROR(Sales_Data_Analysis[[#This Row],[Gross_Sales]]-Sales_Data_Analysis[[#This Row],[Cost]],"No data")</f>
        <v>224</v>
      </c>
      <c r="N38" t="str">
        <f>IF(Sales_Data_Analysis[[#This Row],[Profit]]&lt;=Reference_Tables!$F$7,Reference_Tables!$G$7,IF(Sales_Data_Analysis[[#This Row],[Profit]]&lt;=Reference_Tables!$F$6,Reference_Tables!$G$6,IF(Sales_Data_Analysis[[#This Row],[Profit]]&lt;=Reference_Tables!$F$5,Reference_Tables!$G$5,Reference_Tables!$G$4)))</f>
        <v>Silver</v>
      </c>
      <c r="O38" s="19">
        <f>VLOOKUP(Sales_Data_Analysis[[#This Row],[Gross_Sales]],Table3[],2,TRUE)</f>
        <v>0.02</v>
      </c>
      <c r="P38" s="21">
        <f>EOMONTH(Sales_Data_Analysis[[#This Row],[Order_Date]],1)</f>
        <v>43404</v>
      </c>
      <c r="Q38" s="1">
        <f>NETWORKDAYS(Sales_Data_Analysis[[#This Row],[Order_Date]],Sales_Data_Analysis[[#This Row],[Delivery_Date]])</f>
        <v>4</v>
      </c>
    </row>
    <row r="39" spans="1:17" x14ac:dyDescent="0.25">
      <c r="A39" s="1" t="s">
        <v>191</v>
      </c>
      <c r="B39" s="1" t="s">
        <v>192</v>
      </c>
      <c r="C39" s="1">
        <f>MONTH(Sales_Data_Analysis[[#This Row],[Order_Date]])</f>
        <v>5</v>
      </c>
      <c r="D39" s="1">
        <f>YEAR(Sales_Data_Analysis[[#This Row],[Order_Date]])</f>
        <v>2018</v>
      </c>
      <c r="E39" s="2">
        <v>43255</v>
      </c>
      <c r="F39" s="1" t="s">
        <v>14</v>
      </c>
      <c r="G39" s="1" t="s">
        <v>310</v>
      </c>
      <c r="H39" s="1" t="s">
        <v>304</v>
      </c>
      <c r="I39" s="1" t="s">
        <v>20</v>
      </c>
      <c r="J39" s="1" t="s">
        <v>294</v>
      </c>
      <c r="K39" s="18">
        <v>917</v>
      </c>
      <c r="L39" s="18">
        <v>1409</v>
      </c>
      <c r="M39" s="18">
        <f>IFERROR(Sales_Data_Analysis[[#This Row],[Gross_Sales]]-Sales_Data_Analysis[[#This Row],[Cost]],"No data")</f>
        <v>492</v>
      </c>
      <c r="N39" t="str">
        <f>IF(Sales_Data_Analysis[[#This Row],[Profit]]&lt;=Reference_Tables!$F$7,Reference_Tables!$G$7,IF(Sales_Data_Analysis[[#This Row],[Profit]]&lt;=Reference_Tables!$F$6,Reference_Tables!$G$6,IF(Sales_Data_Analysis[[#This Row],[Profit]]&lt;=Reference_Tables!$F$5,Reference_Tables!$G$5,Reference_Tables!$G$4)))</f>
        <v>Gold</v>
      </c>
      <c r="O39" s="19">
        <f>VLOOKUP(Sales_Data_Analysis[[#This Row],[Gross_Sales]],Table3[],2,TRUE)</f>
        <v>0.05</v>
      </c>
      <c r="P39" s="21">
        <f>EOMONTH(Sales_Data_Analysis[[#This Row],[Order_Date]],1)</f>
        <v>43281</v>
      </c>
      <c r="Q39" s="1">
        <f>NETWORKDAYS(Sales_Data_Analysis[[#This Row],[Order_Date]],Sales_Data_Analysis[[#This Row],[Delivery_Date]])</f>
        <v>6</v>
      </c>
    </row>
    <row r="40" spans="1:17" x14ac:dyDescent="0.25">
      <c r="A40" s="1" t="s">
        <v>195</v>
      </c>
      <c r="B40" s="1" t="s">
        <v>196</v>
      </c>
      <c r="C40" s="1">
        <f>MONTH(Sales_Data_Analysis[[#This Row],[Order_Date]])</f>
        <v>3</v>
      </c>
      <c r="D40" s="1">
        <f>YEAR(Sales_Data_Analysis[[#This Row],[Order_Date]])</f>
        <v>2018</v>
      </c>
      <c r="E40" s="2">
        <v>43172</v>
      </c>
      <c r="F40" s="1" t="s">
        <v>14</v>
      </c>
      <c r="G40" s="1" t="s">
        <v>310</v>
      </c>
      <c r="H40" s="1" t="s">
        <v>304</v>
      </c>
      <c r="I40" s="1" t="s">
        <v>15</v>
      </c>
      <c r="J40" s="1" t="s">
        <v>284</v>
      </c>
      <c r="K40" s="18">
        <v>312</v>
      </c>
      <c r="L40" s="18">
        <v>1041</v>
      </c>
      <c r="M40" s="18">
        <f>IFERROR(Sales_Data_Analysis[[#This Row],[Gross_Sales]]-Sales_Data_Analysis[[#This Row],[Cost]],"No data")</f>
        <v>729</v>
      </c>
      <c r="N40" t="str">
        <f>IF(Sales_Data_Analysis[[#This Row],[Profit]]&lt;=Reference_Tables!$F$7,Reference_Tables!$G$7,IF(Sales_Data_Analysis[[#This Row],[Profit]]&lt;=Reference_Tables!$F$6,Reference_Tables!$G$6,IF(Sales_Data_Analysis[[#This Row],[Profit]]&lt;=Reference_Tables!$F$5,Reference_Tables!$G$5,Reference_Tables!$G$4)))</f>
        <v>Platinum</v>
      </c>
      <c r="O40" s="19">
        <f>VLOOKUP(Sales_Data_Analysis[[#This Row],[Gross_Sales]],Table3[],2,TRUE)</f>
        <v>0.05</v>
      </c>
      <c r="P40" s="21">
        <f>EOMONTH(Sales_Data_Analysis[[#This Row],[Order_Date]],1)</f>
        <v>43220</v>
      </c>
      <c r="Q40" s="1">
        <f>NETWORKDAYS(Sales_Data_Analysis[[#This Row],[Order_Date]],Sales_Data_Analysis[[#This Row],[Delivery_Date]])</f>
        <v>7</v>
      </c>
    </row>
    <row r="41" spans="1:17" x14ac:dyDescent="0.25">
      <c r="A41" s="1" t="s">
        <v>204</v>
      </c>
      <c r="B41" s="1" t="s">
        <v>205</v>
      </c>
      <c r="C41" s="1">
        <f>MONTH(Sales_Data_Analysis[[#This Row],[Order_Date]])</f>
        <v>3</v>
      </c>
      <c r="D41" s="1">
        <f>YEAR(Sales_Data_Analysis[[#This Row],[Order_Date]])</f>
        <v>2019</v>
      </c>
      <c r="E41" s="2">
        <v>43554</v>
      </c>
      <c r="F41" s="1" t="s">
        <v>53</v>
      </c>
      <c r="G41" s="1" t="s">
        <v>313</v>
      </c>
      <c r="H41" s="1" t="s">
        <v>304</v>
      </c>
      <c r="I41" s="1" t="s">
        <v>33</v>
      </c>
      <c r="J41" s="1" t="s">
        <v>302</v>
      </c>
      <c r="K41" s="18">
        <v>188</v>
      </c>
      <c r="L41" s="18">
        <v>376</v>
      </c>
      <c r="M41" s="18">
        <f>IFERROR(Sales_Data_Analysis[[#This Row],[Gross_Sales]]-Sales_Data_Analysis[[#This Row],[Cost]],"No data")</f>
        <v>188</v>
      </c>
      <c r="N41" t="str">
        <f>IF(Sales_Data_Analysis[[#This Row],[Profit]]&lt;=Reference_Tables!$F$7,Reference_Tables!$G$7,IF(Sales_Data_Analysis[[#This Row],[Profit]]&lt;=Reference_Tables!$F$6,Reference_Tables!$G$6,IF(Sales_Data_Analysis[[#This Row],[Profit]]&lt;=Reference_Tables!$F$5,Reference_Tables!$G$5,Reference_Tables!$G$4)))</f>
        <v>Silver</v>
      </c>
      <c r="O41" s="19">
        <f>VLOOKUP(Sales_Data_Analysis[[#This Row],[Gross_Sales]],Table3[],2,TRUE)</f>
        <v>0</v>
      </c>
      <c r="P41" s="21">
        <f>EOMONTH(Sales_Data_Analysis[[#This Row],[Order_Date]],1)</f>
        <v>43585</v>
      </c>
      <c r="Q41" s="1">
        <f>NETWORKDAYS(Sales_Data_Analysis[[#This Row],[Order_Date]],Sales_Data_Analysis[[#This Row],[Delivery_Date]])</f>
        <v>3</v>
      </c>
    </row>
    <row r="42" spans="1:17" x14ac:dyDescent="0.25">
      <c r="A42" s="1" t="s">
        <v>207</v>
      </c>
      <c r="B42" s="1" t="s">
        <v>208</v>
      </c>
      <c r="C42" s="1">
        <f>MONTH(Sales_Data_Analysis[[#This Row],[Order_Date]])</f>
        <v>8</v>
      </c>
      <c r="D42" s="1">
        <f>YEAR(Sales_Data_Analysis[[#This Row],[Order_Date]])</f>
        <v>2019</v>
      </c>
      <c r="E42" s="2">
        <v>43704</v>
      </c>
      <c r="F42" s="1" t="s">
        <v>19</v>
      </c>
      <c r="G42" s="1" t="s">
        <v>316</v>
      </c>
      <c r="H42" s="1" t="s">
        <v>306</v>
      </c>
      <c r="I42" s="1" t="s">
        <v>33</v>
      </c>
      <c r="J42" s="1" t="s">
        <v>302</v>
      </c>
      <c r="K42" s="18">
        <v>452</v>
      </c>
      <c r="L42" s="18">
        <v>868</v>
      </c>
      <c r="M42" s="18">
        <f>IFERROR(Sales_Data_Analysis[[#This Row],[Gross_Sales]]-Sales_Data_Analysis[[#This Row],[Cost]],"No data")</f>
        <v>416</v>
      </c>
      <c r="N42" t="str">
        <f>IF(Sales_Data_Analysis[[#This Row],[Profit]]&lt;=Reference_Tables!$F$7,Reference_Tables!$G$7,IF(Sales_Data_Analysis[[#This Row],[Profit]]&lt;=Reference_Tables!$F$6,Reference_Tables!$G$6,IF(Sales_Data_Analysis[[#This Row],[Profit]]&lt;=Reference_Tables!$F$5,Reference_Tables!$G$5,Reference_Tables!$G$4)))</f>
        <v>Gold</v>
      </c>
      <c r="O42" s="19">
        <f>VLOOKUP(Sales_Data_Analysis[[#This Row],[Gross_Sales]],Table3[],2,TRUE)</f>
        <v>0.02</v>
      </c>
      <c r="P42" s="21">
        <f>EOMONTH(Sales_Data_Analysis[[#This Row],[Order_Date]],1)</f>
        <v>43738</v>
      </c>
      <c r="Q42" s="1">
        <f>NETWORKDAYS(Sales_Data_Analysis[[#This Row],[Order_Date]],Sales_Data_Analysis[[#This Row],[Delivery_Date]])</f>
        <v>5</v>
      </c>
    </row>
    <row r="43" spans="1:17" x14ac:dyDescent="0.25">
      <c r="A43" s="1" t="s">
        <v>211</v>
      </c>
      <c r="B43" s="1" t="s">
        <v>212</v>
      </c>
      <c r="C43" s="1">
        <f>MONTH(Sales_Data_Analysis[[#This Row],[Order_Date]])</f>
        <v>3</v>
      </c>
      <c r="D43" s="1">
        <f>YEAR(Sales_Data_Analysis[[#This Row],[Order_Date]])</f>
        <v>2018</v>
      </c>
      <c r="E43" s="2">
        <v>43179</v>
      </c>
      <c r="F43" s="1" t="s">
        <v>32</v>
      </c>
      <c r="G43" s="1" t="s">
        <v>317</v>
      </c>
      <c r="H43" s="1" t="s">
        <v>307</v>
      </c>
      <c r="I43" s="1" t="s">
        <v>33</v>
      </c>
      <c r="J43" s="1" t="s">
        <v>302</v>
      </c>
      <c r="K43" s="18">
        <v>132</v>
      </c>
      <c r="L43" s="18">
        <v>710</v>
      </c>
      <c r="M43" s="18">
        <f>IFERROR(Sales_Data_Analysis[[#This Row],[Gross_Sales]]-Sales_Data_Analysis[[#This Row],[Cost]],"No data")</f>
        <v>578</v>
      </c>
      <c r="N43" t="str">
        <f>IF(Sales_Data_Analysis[[#This Row],[Profit]]&lt;=Reference_Tables!$F$7,Reference_Tables!$G$7,IF(Sales_Data_Analysis[[#This Row],[Profit]]&lt;=Reference_Tables!$F$6,Reference_Tables!$G$6,IF(Sales_Data_Analysis[[#This Row],[Profit]]&lt;=Reference_Tables!$F$5,Reference_Tables!$G$5,Reference_Tables!$G$4)))</f>
        <v>Gold</v>
      </c>
      <c r="O43" s="19">
        <f>VLOOKUP(Sales_Data_Analysis[[#This Row],[Gross_Sales]],Table3[],2,TRUE)</f>
        <v>0.02</v>
      </c>
      <c r="P43" s="21">
        <f>EOMONTH(Sales_Data_Analysis[[#This Row],[Order_Date]],1)</f>
        <v>43220</v>
      </c>
      <c r="Q43" s="1">
        <f>NETWORKDAYS(Sales_Data_Analysis[[#This Row],[Order_Date]],Sales_Data_Analysis[[#This Row],[Delivery_Date]])</f>
        <v>4</v>
      </c>
    </row>
    <row r="44" spans="1:17" x14ac:dyDescent="0.25">
      <c r="A44" s="1" t="s">
        <v>227</v>
      </c>
      <c r="B44" s="1" t="s">
        <v>228</v>
      </c>
      <c r="C44" s="1">
        <f>MONTH(Sales_Data_Analysis[[#This Row],[Order_Date]])</f>
        <v>4</v>
      </c>
      <c r="D44" s="1">
        <f>YEAR(Sales_Data_Analysis[[#This Row],[Order_Date]])</f>
        <v>2019</v>
      </c>
      <c r="E44" s="2">
        <v>43562</v>
      </c>
      <c r="F44" s="1" t="s">
        <v>24</v>
      </c>
      <c r="G44" s="1" t="s">
        <v>311</v>
      </c>
      <c r="H44" s="1" t="s">
        <v>304</v>
      </c>
      <c r="I44" s="1" t="s">
        <v>37</v>
      </c>
      <c r="J44" s="1" t="s">
        <v>274</v>
      </c>
      <c r="K44" s="18">
        <v>237</v>
      </c>
      <c r="L44" s="18">
        <v>1017</v>
      </c>
      <c r="M44" s="18">
        <f>IFERROR(Sales_Data_Analysis[[#This Row],[Gross_Sales]]-Sales_Data_Analysis[[#This Row],[Cost]],"No data")</f>
        <v>780</v>
      </c>
      <c r="N44" t="str">
        <f>IF(Sales_Data_Analysis[[#This Row],[Profit]]&lt;=Reference_Tables!$F$7,Reference_Tables!$G$7,IF(Sales_Data_Analysis[[#This Row],[Profit]]&lt;=Reference_Tables!$F$6,Reference_Tables!$G$6,IF(Sales_Data_Analysis[[#This Row],[Profit]]&lt;=Reference_Tables!$F$5,Reference_Tables!$G$5,Reference_Tables!$G$4)))</f>
        <v>Platinum</v>
      </c>
      <c r="O44" s="19">
        <f>VLOOKUP(Sales_Data_Analysis[[#This Row],[Gross_Sales]],Table3[],2,TRUE)</f>
        <v>0.05</v>
      </c>
      <c r="P44" s="21">
        <f>EOMONTH(Sales_Data_Analysis[[#This Row],[Order_Date]],1)</f>
        <v>43616</v>
      </c>
      <c r="Q44" s="1">
        <f>NETWORKDAYS(Sales_Data_Analysis[[#This Row],[Order_Date]],Sales_Data_Analysis[[#This Row],[Delivery_Date]])</f>
        <v>5</v>
      </c>
    </row>
    <row r="45" spans="1:17" x14ac:dyDescent="0.25">
      <c r="A45" s="1" t="s">
        <v>233</v>
      </c>
      <c r="B45" s="1" t="s">
        <v>234</v>
      </c>
      <c r="C45" s="1">
        <f>MONTH(Sales_Data_Analysis[[#This Row],[Order_Date]])</f>
        <v>8</v>
      </c>
      <c r="D45" s="1">
        <f>YEAR(Sales_Data_Analysis[[#This Row],[Order_Date]])</f>
        <v>2019</v>
      </c>
      <c r="E45" s="2">
        <v>43697</v>
      </c>
      <c r="F45" s="1" t="s">
        <v>28</v>
      </c>
      <c r="G45" s="1" t="s">
        <v>312</v>
      </c>
      <c r="H45" s="1" t="s">
        <v>305</v>
      </c>
      <c r="I45" s="1" t="s">
        <v>15</v>
      </c>
      <c r="J45" s="1" t="s">
        <v>284</v>
      </c>
      <c r="K45" s="18">
        <v>725</v>
      </c>
      <c r="L45" s="18">
        <v>1103</v>
      </c>
      <c r="M45" s="18">
        <f>IFERROR(Sales_Data_Analysis[[#This Row],[Gross_Sales]]-Sales_Data_Analysis[[#This Row],[Cost]],"No data")</f>
        <v>378</v>
      </c>
      <c r="N45" t="str">
        <f>IF(Sales_Data_Analysis[[#This Row],[Profit]]&lt;=Reference_Tables!$F$7,Reference_Tables!$G$7,IF(Sales_Data_Analysis[[#This Row],[Profit]]&lt;=Reference_Tables!$F$6,Reference_Tables!$G$6,IF(Sales_Data_Analysis[[#This Row],[Profit]]&lt;=Reference_Tables!$F$5,Reference_Tables!$G$5,Reference_Tables!$G$4)))</f>
        <v>Gold</v>
      </c>
      <c r="O45" s="19">
        <f>VLOOKUP(Sales_Data_Analysis[[#This Row],[Gross_Sales]],Table3[],2,TRUE)</f>
        <v>0.05</v>
      </c>
      <c r="P45" s="21">
        <f>EOMONTH(Sales_Data_Analysis[[#This Row],[Order_Date]],1)</f>
        <v>43738</v>
      </c>
      <c r="Q45" s="1">
        <f>NETWORKDAYS(Sales_Data_Analysis[[#This Row],[Order_Date]],Sales_Data_Analysis[[#This Row],[Delivery_Date]])</f>
        <v>4</v>
      </c>
    </row>
    <row r="46" spans="1:17" x14ac:dyDescent="0.25">
      <c r="A46" s="1" t="s">
        <v>235</v>
      </c>
      <c r="B46" s="1" t="s">
        <v>236</v>
      </c>
      <c r="C46" s="1">
        <f>MONTH(Sales_Data_Analysis[[#This Row],[Order_Date]])</f>
        <v>12</v>
      </c>
      <c r="D46" s="1">
        <f>YEAR(Sales_Data_Analysis[[#This Row],[Order_Date]])</f>
        <v>2018</v>
      </c>
      <c r="E46" s="2">
        <v>43441</v>
      </c>
      <c r="F46" s="1" t="s">
        <v>19</v>
      </c>
      <c r="G46" s="1" t="s">
        <v>316</v>
      </c>
      <c r="H46" s="1" t="s">
        <v>306</v>
      </c>
      <c r="I46" s="1" t="s">
        <v>15</v>
      </c>
      <c r="J46" s="1" t="s">
        <v>284</v>
      </c>
      <c r="K46" s="18">
        <v>997</v>
      </c>
      <c r="L46" s="18">
        <v>1254</v>
      </c>
      <c r="M46" s="18">
        <f>IFERROR(Sales_Data_Analysis[[#This Row],[Gross_Sales]]-Sales_Data_Analysis[[#This Row],[Cost]],"No data")</f>
        <v>257</v>
      </c>
      <c r="N46" t="str">
        <f>IF(Sales_Data_Analysis[[#This Row],[Profit]]&lt;=Reference_Tables!$F$7,Reference_Tables!$G$7,IF(Sales_Data_Analysis[[#This Row],[Profit]]&lt;=Reference_Tables!$F$6,Reference_Tables!$G$6,IF(Sales_Data_Analysis[[#This Row],[Profit]]&lt;=Reference_Tables!$F$5,Reference_Tables!$G$5,Reference_Tables!$G$4)))</f>
        <v>Silver</v>
      </c>
      <c r="O46" s="19">
        <f>VLOOKUP(Sales_Data_Analysis[[#This Row],[Gross_Sales]],Table3[],2,TRUE)</f>
        <v>0.05</v>
      </c>
      <c r="P46" s="21">
        <f>EOMONTH(Sales_Data_Analysis[[#This Row],[Order_Date]],1)</f>
        <v>43496</v>
      </c>
      <c r="Q46" s="1">
        <f>NETWORKDAYS(Sales_Data_Analysis[[#This Row],[Order_Date]],Sales_Data_Analysis[[#This Row],[Delivery_Date]])</f>
        <v>5</v>
      </c>
    </row>
    <row r="47" spans="1:17" x14ac:dyDescent="0.25">
      <c r="A47" s="1" t="s">
        <v>237</v>
      </c>
      <c r="B47" s="1" t="s">
        <v>238</v>
      </c>
      <c r="C47" s="1">
        <f>MONTH(Sales_Data_Analysis[[#This Row],[Order_Date]])</f>
        <v>3</v>
      </c>
      <c r="D47" s="1">
        <f>YEAR(Sales_Data_Analysis[[#This Row],[Order_Date]])</f>
        <v>2019</v>
      </c>
      <c r="E47" s="2">
        <v>43557</v>
      </c>
      <c r="F47" s="1" t="s">
        <v>44</v>
      </c>
      <c r="G47" s="1" t="s">
        <v>315</v>
      </c>
      <c r="H47" s="1" t="s">
        <v>305</v>
      </c>
      <c r="I47" s="1" t="s">
        <v>20</v>
      </c>
      <c r="J47" s="1" t="s">
        <v>296</v>
      </c>
      <c r="K47" s="18">
        <v>392</v>
      </c>
      <c r="L47" s="18">
        <v>688</v>
      </c>
      <c r="M47" s="18">
        <f>IFERROR(Sales_Data_Analysis[[#This Row],[Gross_Sales]]-Sales_Data_Analysis[[#This Row],[Cost]],"No data")</f>
        <v>296</v>
      </c>
      <c r="N47" t="str">
        <f>IF(Sales_Data_Analysis[[#This Row],[Profit]]&lt;=Reference_Tables!$F$7,Reference_Tables!$G$7,IF(Sales_Data_Analysis[[#This Row],[Profit]]&lt;=Reference_Tables!$F$6,Reference_Tables!$G$6,IF(Sales_Data_Analysis[[#This Row],[Profit]]&lt;=Reference_Tables!$F$5,Reference_Tables!$G$5,Reference_Tables!$G$4)))</f>
        <v>Silver</v>
      </c>
      <c r="O47" s="19">
        <f>VLOOKUP(Sales_Data_Analysis[[#This Row],[Gross_Sales]],Table3[],2,TRUE)</f>
        <v>0.02</v>
      </c>
      <c r="P47" s="21">
        <f>EOMONTH(Sales_Data_Analysis[[#This Row],[Order_Date]],1)</f>
        <v>43585</v>
      </c>
      <c r="Q47" s="1">
        <f>NETWORKDAYS(Sales_Data_Analysis[[#This Row],[Order_Date]],Sales_Data_Analysis[[#This Row],[Delivery_Date]])</f>
        <v>2</v>
      </c>
    </row>
    <row r="48" spans="1:17" x14ac:dyDescent="0.25">
      <c r="A48" s="1" t="s">
        <v>245</v>
      </c>
      <c r="B48" s="1" t="s">
        <v>246</v>
      </c>
      <c r="C48" s="1">
        <f>MONTH(Sales_Data_Analysis[[#This Row],[Order_Date]])</f>
        <v>12</v>
      </c>
      <c r="D48" s="1">
        <f>YEAR(Sales_Data_Analysis[[#This Row],[Order_Date]])</f>
        <v>2018</v>
      </c>
      <c r="E48" s="2">
        <v>43463</v>
      </c>
      <c r="F48" s="1" t="s">
        <v>19</v>
      </c>
      <c r="G48" s="1" t="s">
        <v>316</v>
      </c>
      <c r="H48" s="1" t="s">
        <v>306</v>
      </c>
      <c r="I48" s="1" t="s">
        <v>33</v>
      </c>
      <c r="J48" s="1" t="s">
        <v>298</v>
      </c>
      <c r="K48" s="18">
        <v>988</v>
      </c>
      <c r="L48" s="18">
        <v>1615</v>
      </c>
      <c r="M48" s="18">
        <f>IFERROR(Sales_Data_Analysis[[#This Row],[Gross_Sales]]-Sales_Data_Analysis[[#This Row],[Cost]],"No data")</f>
        <v>627</v>
      </c>
      <c r="N48" t="str">
        <f>IF(Sales_Data_Analysis[[#This Row],[Profit]]&lt;=Reference_Tables!$F$7,Reference_Tables!$G$7,IF(Sales_Data_Analysis[[#This Row],[Profit]]&lt;=Reference_Tables!$F$6,Reference_Tables!$G$6,IF(Sales_Data_Analysis[[#This Row],[Profit]]&lt;=Reference_Tables!$F$5,Reference_Tables!$G$5,Reference_Tables!$G$4)))</f>
        <v>Platinum</v>
      </c>
      <c r="O48" s="19">
        <f>VLOOKUP(Sales_Data_Analysis[[#This Row],[Gross_Sales]],Table3[],2,TRUE)</f>
        <v>0.1</v>
      </c>
      <c r="P48" s="21">
        <f>EOMONTH(Sales_Data_Analysis[[#This Row],[Order_Date]],1)</f>
        <v>43496</v>
      </c>
      <c r="Q48" s="1">
        <f>NETWORKDAYS(Sales_Data_Analysis[[#This Row],[Order_Date]],Sales_Data_Analysis[[#This Row],[Delivery_Date]])</f>
        <v>3</v>
      </c>
    </row>
    <row r="49" spans="1:17" x14ac:dyDescent="0.25">
      <c r="A49" s="1" t="s">
        <v>249</v>
      </c>
      <c r="B49" s="1" t="s">
        <v>250</v>
      </c>
      <c r="C49" s="1">
        <f>MONTH(Sales_Data_Analysis[[#This Row],[Order_Date]])</f>
        <v>11</v>
      </c>
      <c r="D49" s="1">
        <f>YEAR(Sales_Data_Analysis[[#This Row],[Order_Date]])</f>
        <v>2018</v>
      </c>
      <c r="E49" s="2">
        <v>43434</v>
      </c>
      <c r="F49" s="1" t="s">
        <v>32</v>
      </c>
      <c r="G49" s="1" t="s">
        <v>317</v>
      </c>
      <c r="H49" s="1" t="s">
        <v>307</v>
      </c>
      <c r="I49" s="1" t="s">
        <v>20</v>
      </c>
      <c r="J49" s="1" t="s">
        <v>294</v>
      </c>
      <c r="K49" s="18">
        <v>655</v>
      </c>
      <c r="L49" s="18">
        <v>712</v>
      </c>
      <c r="M49" s="18">
        <f>IFERROR(Sales_Data_Analysis[[#This Row],[Gross_Sales]]-Sales_Data_Analysis[[#This Row],[Cost]],"No data")</f>
        <v>57</v>
      </c>
      <c r="N49" t="str">
        <f>IF(Sales_Data_Analysis[[#This Row],[Profit]]&lt;=Reference_Tables!$F$7,Reference_Tables!$G$7,IF(Sales_Data_Analysis[[#This Row],[Profit]]&lt;=Reference_Tables!$F$6,Reference_Tables!$G$6,IF(Sales_Data_Analysis[[#This Row],[Profit]]&lt;=Reference_Tables!$F$5,Reference_Tables!$G$5,Reference_Tables!$G$4)))</f>
        <v>Silver</v>
      </c>
      <c r="O49" s="19">
        <f>VLOOKUP(Sales_Data_Analysis[[#This Row],[Gross_Sales]],Table3[],2,TRUE)</f>
        <v>0.02</v>
      </c>
      <c r="P49" s="21">
        <f>EOMONTH(Sales_Data_Analysis[[#This Row],[Order_Date]],1)</f>
        <v>43465</v>
      </c>
      <c r="Q49" s="1">
        <f>NETWORKDAYS(Sales_Data_Analysis[[#This Row],[Order_Date]],Sales_Data_Analysis[[#This Row],[Delivery_Date]])</f>
        <v>10</v>
      </c>
    </row>
    <row r="50" spans="1:17" x14ac:dyDescent="0.25">
      <c r="A50" s="1" t="s">
        <v>251</v>
      </c>
      <c r="B50" s="1" t="s">
        <v>252</v>
      </c>
      <c r="C50" s="1">
        <f>MONTH(Sales_Data_Analysis[[#This Row],[Order_Date]])</f>
        <v>9</v>
      </c>
      <c r="D50" s="1">
        <f>YEAR(Sales_Data_Analysis[[#This Row],[Order_Date]])</f>
        <v>2019</v>
      </c>
      <c r="E50" s="2">
        <v>43732</v>
      </c>
      <c r="F50" s="1" t="s">
        <v>63</v>
      </c>
      <c r="G50" s="1" t="s">
        <v>318</v>
      </c>
      <c r="H50" s="1" t="s">
        <v>306</v>
      </c>
      <c r="I50" s="1" t="s">
        <v>37</v>
      </c>
      <c r="J50" s="1" t="s">
        <v>274</v>
      </c>
      <c r="K50" s="18">
        <v>337</v>
      </c>
      <c r="L50" s="18">
        <v>448</v>
      </c>
      <c r="M50" s="18">
        <f>IFERROR(Sales_Data_Analysis[[#This Row],[Gross_Sales]]-Sales_Data_Analysis[[#This Row],[Cost]],"No data")</f>
        <v>111</v>
      </c>
      <c r="N50" t="str">
        <f>IF(Sales_Data_Analysis[[#This Row],[Profit]]&lt;=Reference_Tables!$F$7,Reference_Tables!$G$7,IF(Sales_Data_Analysis[[#This Row],[Profit]]&lt;=Reference_Tables!$F$6,Reference_Tables!$G$6,IF(Sales_Data_Analysis[[#This Row],[Profit]]&lt;=Reference_Tables!$F$5,Reference_Tables!$G$5,Reference_Tables!$G$4)))</f>
        <v>Silver</v>
      </c>
      <c r="O50" s="19">
        <f>VLOOKUP(Sales_Data_Analysis[[#This Row],[Gross_Sales]],Table3[],2,TRUE)</f>
        <v>0</v>
      </c>
      <c r="P50" s="21">
        <f>EOMONTH(Sales_Data_Analysis[[#This Row],[Order_Date]],1)</f>
        <v>43769</v>
      </c>
      <c r="Q50" s="1">
        <f>NETWORKDAYS(Sales_Data_Analysis[[#This Row],[Order_Date]],Sales_Data_Analysis[[#This Row],[Delivery_Date]])</f>
        <v>4</v>
      </c>
    </row>
    <row r="51" spans="1:17" x14ac:dyDescent="0.25">
      <c r="A51" s="1" t="s">
        <v>253</v>
      </c>
      <c r="B51" s="1" t="s">
        <v>254</v>
      </c>
      <c r="C51" s="1">
        <f>MONTH(Sales_Data_Analysis[[#This Row],[Order_Date]])</f>
        <v>1</v>
      </c>
      <c r="D51" s="1">
        <f>YEAR(Sales_Data_Analysis[[#This Row],[Order_Date]])</f>
        <v>2019</v>
      </c>
      <c r="E51" s="2">
        <v>43485</v>
      </c>
      <c r="F51" s="1" t="s">
        <v>19</v>
      </c>
      <c r="G51" s="1" t="s">
        <v>316</v>
      </c>
      <c r="H51" s="1" t="s">
        <v>306</v>
      </c>
      <c r="I51" s="1" t="s">
        <v>20</v>
      </c>
      <c r="J51" s="1" t="s">
        <v>294</v>
      </c>
      <c r="K51" s="18">
        <v>146</v>
      </c>
      <c r="L51" s="18">
        <v>489</v>
      </c>
      <c r="M51" s="18">
        <f>IFERROR(Sales_Data_Analysis[[#This Row],[Gross_Sales]]-Sales_Data_Analysis[[#This Row],[Cost]],"No data")</f>
        <v>343</v>
      </c>
      <c r="N51" t="str">
        <f>IF(Sales_Data_Analysis[[#This Row],[Profit]]&lt;=Reference_Tables!$F$7,Reference_Tables!$G$7,IF(Sales_Data_Analysis[[#This Row],[Profit]]&lt;=Reference_Tables!$F$6,Reference_Tables!$G$6,IF(Sales_Data_Analysis[[#This Row],[Profit]]&lt;=Reference_Tables!$F$5,Reference_Tables!$G$5,Reference_Tables!$G$4)))</f>
        <v>Gold</v>
      </c>
      <c r="O51" s="19">
        <f>VLOOKUP(Sales_Data_Analysis[[#This Row],[Gross_Sales]],Table3[],2,TRUE)</f>
        <v>0</v>
      </c>
      <c r="P51" s="21">
        <f>EOMONTH(Sales_Data_Analysis[[#This Row],[Order_Date]],1)</f>
        <v>43524</v>
      </c>
      <c r="Q51" s="1">
        <f>NETWORKDAYS(Sales_Data_Analysis[[#This Row],[Order_Date]],Sales_Data_Analysis[[#This Row],[Delivery_Date]])</f>
        <v>7</v>
      </c>
    </row>
    <row r="52" spans="1:17" x14ac:dyDescent="0.25">
      <c r="A52" s="1" t="s">
        <v>257</v>
      </c>
      <c r="B52" s="1" t="s">
        <v>258</v>
      </c>
      <c r="C52" s="1">
        <f>MONTH(Sales_Data_Analysis[[#This Row],[Order_Date]])</f>
        <v>3</v>
      </c>
      <c r="D52" s="1">
        <f>YEAR(Sales_Data_Analysis[[#This Row],[Order_Date]])</f>
        <v>2019</v>
      </c>
      <c r="E52" s="2">
        <v>43535</v>
      </c>
      <c r="F52" s="1" t="s">
        <v>44</v>
      </c>
      <c r="G52" s="1" t="s">
        <v>315</v>
      </c>
      <c r="H52" s="1" t="s">
        <v>305</v>
      </c>
      <c r="I52" s="1" t="s">
        <v>37</v>
      </c>
      <c r="J52" s="1" t="s">
        <v>272</v>
      </c>
      <c r="K52" s="18">
        <v>123</v>
      </c>
      <c r="L52" s="18">
        <v>913</v>
      </c>
      <c r="M52" s="18">
        <f>IFERROR(Sales_Data_Analysis[[#This Row],[Gross_Sales]]-Sales_Data_Analysis[[#This Row],[Cost]],"No data")</f>
        <v>790</v>
      </c>
      <c r="N52" t="str">
        <f>IF(Sales_Data_Analysis[[#This Row],[Profit]]&lt;=Reference_Tables!$F$7,Reference_Tables!$G$7,IF(Sales_Data_Analysis[[#This Row],[Profit]]&lt;=Reference_Tables!$F$6,Reference_Tables!$G$6,IF(Sales_Data_Analysis[[#This Row],[Profit]]&lt;=Reference_Tables!$F$5,Reference_Tables!$G$5,Reference_Tables!$G$4)))</f>
        <v>Platinum</v>
      </c>
      <c r="O52" s="19">
        <f>VLOOKUP(Sales_Data_Analysis[[#This Row],[Gross_Sales]],Table3[],2,TRUE)</f>
        <v>0.02</v>
      </c>
      <c r="P52" s="21">
        <f>EOMONTH(Sales_Data_Analysis[[#This Row],[Order_Date]],1)</f>
        <v>43585</v>
      </c>
      <c r="Q52" s="1">
        <f>NETWORKDAYS(Sales_Data_Analysis[[#This Row],[Order_Date]],Sales_Data_Analysis[[#This Row],[Delivery_Date]])</f>
        <v>2</v>
      </c>
    </row>
    <row r="53" spans="1:17" x14ac:dyDescent="0.25">
      <c r="A53" s="1" t="s">
        <v>259</v>
      </c>
      <c r="B53" s="1" t="s">
        <v>260</v>
      </c>
      <c r="C53" s="1">
        <f>MONTH(Sales_Data_Analysis[[#This Row],[Order_Date]])</f>
        <v>7</v>
      </c>
      <c r="D53" s="1">
        <f>YEAR(Sales_Data_Analysis[[#This Row],[Order_Date]])</f>
        <v>2019</v>
      </c>
      <c r="E53" s="2">
        <v>43677</v>
      </c>
      <c r="F53" s="1" t="s">
        <v>32</v>
      </c>
      <c r="G53" s="1" t="s">
        <v>317</v>
      </c>
      <c r="H53" s="1" t="s">
        <v>307</v>
      </c>
      <c r="I53" s="1" t="s">
        <v>10</v>
      </c>
      <c r="J53" s="1" t="s">
        <v>276</v>
      </c>
      <c r="K53" s="18">
        <v>422</v>
      </c>
      <c r="L53" s="18">
        <v>663</v>
      </c>
      <c r="M53" s="18">
        <f>IFERROR(Sales_Data_Analysis[[#This Row],[Gross_Sales]]-Sales_Data_Analysis[[#This Row],[Cost]],"No data")</f>
        <v>241</v>
      </c>
      <c r="N53" t="str">
        <f>IF(Sales_Data_Analysis[[#This Row],[Profit]]&lt;=Reference_Tables!$F$7,Reference_Tables!$G$7,IF(Sales_Data_Analysis[[#This Row],[Profit]]&lt;=Reference_Tables!$F$6,Reference_Tables!$G$6,IF(Sales_Data_Analysis[[#This Row],[Profit]]&lt;=Reference_Tables!$F$5,Reference_Tables!$G$5,Reference_Tables!$G$4)))</f>
        <v>Silver</v>
      </c>
      <c r="O53" s="19">
        <f>VLOOKUP(Sales_Data_Analysis[[#This Row],[Gross_Sales]],Table3[],2,TRUE)</f>
        <v>0.02</v>
      </c>
      <c r="P53" s="21">
        <f>EOMONTH(Sales_Data_Analysis[[#This Row],[Order_Date]],1)</f>
        <v>43708</v>
      </c>
      <c r="Q53" s="1">
        <f>NETWORKDAYS(Sales_Data_Analysis[[#This Row],[Order_Date]],Sales_Data_Analysis[[#This Row],[Delivery_Date]])</f>
        <v>9</v>
      </c>
    </row>
    <row r="54" spans="1:17" x14ac:dyDescent="0.25">
      <c r="A54" s="1" t="s">
        <v>261</v>
      </c>
      <c r="B54" s="1" t="s">
        <v>262</v>
      </c>
      <c r="C54" s="1">
        <f>MONTH(Sales_Data_Analysis[[#This Row],[Order_Date]])</f>
        <v>11</v>
      </c>
      <c r="D54" s="1">
        <f>YEAR(Sales_Data_Analysis[[#This Row],[Order_Date]])</f>
        <v>2019</v>
      </c>
      <c r="E54" s="2">
        <v>43788</v>
      </c>
      <c r="F54" s="1" t="s">
        <v>28</v>
      </c>
      <c r="G54" s="1" t="s">
        <v>312</v>
      </c>
      <c r="H54" s="1" t="s">
        <v>305</v>
      </c>
      <c r="I54" s="1" t="s">
        <v>15</v>
      </c>
      <c r="J54" s="1" t="s">
        <v>290</v>
      </c>
      <c r="K54" s="18">
        <v>1200</v>
      </c>
      <c r="L54" s="18">
        <v>1416</v>
      </c>
      <c r="M54" s="18">
        <f>IFERROR(Sales_Data_Analysis[[#This Row],[Gross_Sales]]-Sales_Data_Analysis[[#This Row],[Cost]],"No data")</f>
        <v>216</v>
      </c>
      <c r="N54" t="str">
        <f>IF(Sales_Data_Analysis[[#This Row],[Profit]]&lt;=Reference_Tables!$F$7,Reference_Tables!$G$7,IF(Sales_Data_Analysis[[#This Row],[Profit]]&lt;=Reference_Tables!$F$6,Reference_Tables!$G$6,IF(Sales_Data_Analysis[[#This Row],[Profit]]&lt;=Reference_Tables!$F$5,Reference_Tables!$G$5,Reference_Tables!$G$4)))</f>
        <v>Silver</v>
      </c>
      <c r="O54" s="19">
        <f>VLOOKUP(Sales_Data_Analysis[[#This Row],[Gross_Sales]],Table3[],2,TRUE)</f>
        <v>0.05</v>
      </c>
      <c r="P54" s="21">
        <f>EOMONTH(Sales_Data_Analysis[[#This Row],[Order_Date]],1)</f>
        <v>43830</v>
      </c>
      <c r="Q54" s="1">
        <f>NETWORKDAYS(Sales_Data_Analysis[[#This Row],[Order_Date]],Sales_Data_Analysis[[#This Row],[Delivery_Date]])</f>
        <v>6</v>
      </c>
    </row>
    <row r="55" spans="1:17" x14ac:dyDescent="0.25">
      <c r="A55" s="1" t="s">
        <v>263</v>
      </c>
      <c r="B55" s="1" t="s">
        <v>87</v>
      </c>
      <c r="C55" s="1">
        <f>MONTH(Sales_Data_Analysis[[#This Row],[Order_Date]])</f>
        <v>11</v>
      </c>
      <c r="D55" s="1">
        <f>YEAR(Sales_Data_Analysis[[#This Row],[Order_Date]])</f>
        <v>2019</v>
      </c>
      <c r="E55" s="2">
        <v>43801</v>
      </c>
      <c r="F55" s="1" t="s">
        <v>53</v>
      </c>
      <c r="G55" s="1" t="s">
        <v>313</v>
      </c>
      <c r="H55" s="1" t="s">
        <v>304</v>
      </c>
      <c r="I55" s="1" t="s">
        <v>20</v>
      </c>
      <c r="J55" s="1" t="s">
        <v>296</v>
      </c>
      <c r="K55" s="18">
        <v>560</v>
      </c>
      <c r="L55" s="18">
        <v>1448</v>
      </c>
      <c r="M55" s="18">
        <f>IFERROR(Sales_Data_Analysis[[#This Row],[Gross_Sales]]-Sales_Data_Analysis[[#This Row],[Cost]],"No data")</f>
        <v>888</v>
      </c>
      <c r="N55" t="str">
        <f>IF(Sales_Data_Analysis[[#This Row],[Profit]]&lt;=Reference_Tables!$F$7,Reference_Tables!$G$7,IF(Sales_Data_Analysis[[#This Row],[Profit]]&lt;=Reference_Tables!$F$6,Reference_Tables!$G$6,IF(Sales_Data_Analysis[[#This Row],[Profit]]&lt;=Reference_Tables!$F$5,Reference_Tables!$G$5,Reference_Tables!$G$4)))</f>
        <v>Platinum</v>
      </c>
      <c r="O55" s="19">
        <f>VLOOKUP(Sales_Data_Analysis[[#This Row],[Gross_Sales]],Table3[],2,TRUE)</f>
        <v>0.05</v>
      </c>
      <c r="P55" s="21">
        <f>EOMONTH(Sales_Data_Analysis[[#This Row],[Order_Date]],1)</f>
        <v>43830</v>
      </c>
      <c r="Q55" s="1">
        <f>NETWORKDAYS(Sales_Data_Analysis[[#This Row],[Order_Date]],Sales_Data_Analysis[[#This Row],[Delivery_Date]])</f>
        <v>6</v>
      </c>
    </row>
    <row r="56" spans="1:17" x14ac:dyDescent="0.25">
      <c r="A56" s="1" t="s">
        <v>264</v>
      </c>
      <c r="B56" s="1" t="s">
        <v>210</v>
      </c>
      <c r="C56" s="1">
        <f>MONTH(Sales_Data_Analysis[[#This Row],[Order_Date]])</f>
        <v>2</v>
      </c>
      <c r="D56" s="1">
        <f>YEAR(Sales_Data_Analysis[[#This Row],[Order_Date]])</f>
        <v>2018</v>
      </c>
      <c r="E56" s="2">
        <v>43158</v>
      </c>
      <c r="F56" s="1" t="s">
        <v>53</v>
      </c>
      <c r="G56" s="1" t="s">
        <v>313</v>
      </c>
      <c r="H56" s="1" t="s">
        <v>304</v>
      </c>
      <c r="I56" s="1" t="s">
        <v>37</v>
      </c>
      <c r="J56" s="1" t="s">
        <v>270</v>
      </c>
      <c r="K56" s="18">
        <v>913</v>
      </c>
      <c r="L56" s="18">
        <v>1351</v>
      </c>
      <c r="M56" s="18">
        <f>IFERROR(Sales_Data_Analysis[[#This Row],[Gross_Sales]]-Sales_Data_Analysis[[#This Row],[Cost]],"No data")</f>
        <v>438</v>
      </c>
      <c r="N56" t="str">
        <f>IF(Sales_Data_Analysis[[#This Row],[Profit]]&lt;=Reference_Tables!$F$7,Reference_Tables!$G$7,IF(Sales_Data_Analysis[[#This Row],[Profit]]&lt;=Reference_Tables!$F$6,Reference_Tables!$G$6,IF(Sales_Data_Analysis[[#This Row],[Profit]]&lt;=Reference_Tables!$F$5,Reference_Tables!$G$5,Reference_Tables!$G$4)))</f>
        <v>Gold</v>
      </c>
      <c r="O56" s="19">
        <f>VLOOKUP(Sales_Data_Analysis[[#This Row],[Gross_Sales]],Table3[],2,TRUE)</f>
        <v>0.05</v>
      </c>
      <c r="P56" s="21">
        <f>EOMONTH(Sales_Data_Analysis[[#This Row],[Order_Date]],1)</f>
        <v>43190</v>
      </c>
      <c r="Q56" s="1">
        <f>NETWORKDAYS(Sales_Data_Analysis[[#This Row],[Order_Date]],Sales_Data_Analysis[[#This Row],[Delivery_Date]])</f>
        <v>9</v>
      </c>
    </row>
    <row r="57" spans="1:17" x14ac:dyDescent="0.25">
      <c r="A57" s="1" t="s">
        <v>17</v>
      </c>
      <c r="B57" s="1" t="s">
        <v>18</v>
      </c>
      <c r="C57" s="1">
        <f>MONTH(Sales_Data_Analysis[[#This Row],[Order_Date]])</f>
        <v>8</v>
      </c>
      <c r="D57" s="1">
        <f>YEAR(Sales_Data_Analysis[[#This Row],[Order_Date]])</f>
        <v>2019</v>
      </c>
      <c r="E57" s="2">
        <v>43160</v>
      </c>
      <c r="F57" s="1" t="s">
        <v>19</v>
      </c>
      <c r="G57" s="1" t="s">
        <v>316</v>
      </c>
      <c r="H57" s="1" t="s">
        <v>306</v>
      </c>
      <c r="I57" s="2" t="s">
        <v>20</v>
      </c>
      <c r="J57" s="1" t="s">
        <v>21</v>
      </c>
      <c r="K57" s="18">
        <v>0</v>
      </c>
      <c r="L57" s="18">
        <v>654</v>
      </c>
      <c r="M57" s="18">
        <v>654</v>
      </c>
      <c r="N57" s="1" t="str">
        <f>IF(Sales_Data_Analysis[[#This Row],[Profit]]&lt;=Reference_Tables!$F$7,Reference_Tables!$G$7,IF(Sales_Data_Analysis[[#This Row],[Profit]]&lt;=Reference_Tables!$F$6,Reference_Tables!$G$6,IF(Sales_Data_Analysis[[#This Row],[Profit]]&lt;=Reference_Tables!$F$5,Reference_Tables!$G$5,Reference_Tables!$G$4)))</f>
        <v>Platinum</v>
      </c>
      <c r="O57" s="26">
        <f>VLOOKUP(Sales_Data_Analysis[[#This Row],[Gross_Sales]],Table3[],2,TRUE)</f>
        <v>0.02</v>
      </c>
      <c r="P57" s="21">
        <f>EOMONTH(Sales_Data_Analysis[[#This Row],[Order_Date]],1)</f>
        <v>43738</v>
      </c>
      <c r="Q57" s="1">
        <f>NETWORKDAYS(Sales_Data_Analysis[[#This Row],[Order_Date]],Sales_Data_Analysis[[#This Row],[Delivery_Date]])</f>
        <v>-374</v>
      </c>
    </row>
    <row r="58" spans="1:17" x14ac:dyDescent="0.25">
      <c r="A58" s="1" t="s">
        <v>26</v>
      </c>
      <c r="B58" s="1" t="s">
        <v>27</v>
      </c>
      <c r="C58" s="1">
        <f>MONTH(Sales_Data_Analysis[[#This Row],[Order_Date]])</f>
        <v>7</v>
      </c>
      <c r="D58" s="1">
        <f>YEAR(Sales_Data_Analysis[[#This Row],[Order_Date]])</f>
        <v>2019</v>
      </c>
      <c r="E58" s="2">
        <v>43161</v>
      </c>
      <c r="F58" s="1" t="s">
        <v>28</v>
      </c>
      <c r="G58" s="1" t="s">
        <v>312</v>
      </c>
      <c r="H58" s="1" t="s">
        <v>305</v>
      </c>
      <c r="I58" s="2" t="s">
        <v>20</v>
      </c>
      <c r="J58" s="1" t="s">
        <v>29</v>
      </c>
      <c r="K58" s="18">
        <v>0</v>
      </c>
      <c r="L58" s="18">
        <v>1187</v>
      </c>
      <c r="M58" s="18">
        <v>1187</v>
      </c>
      <c r="N58" s="1" t="str">
        <f>IF(Sales_Data_Analysis[[#This Row],[Profit]]&lt;=Reference_Tables!$F$7,Reference_Tables!$G$7,IF(Sales_Data_Analysis[[#This Row],[Profit]]&lt;=Reference_Tables!$F$6,Reference_Tables!$G$6,IF(Sales_Data_Analysis[[#This Row],[Profit]]&lt;=Reference_Tables!$F$5,Reference_Tables!$G$5,Reference_Tables!$G$4)))</f>
        <v>Diamond</v>
      </c>
      <c r="O58" s="26">
        <f>VLOOKUP(Sales_Data_Analysis[[#This Row],[Gross_Sales]],Table3[],2,TRUE)</f>
        <v>0.05</v>
      </c>
      <c r="P58" s="21">
        <f>EOMONTH(Sales_Data_Analysis[[#This Row],[Order_Date]],1)</f>
        <v>43708</v>
      </c>
      <c r="Q58" s="1">
        <f>NETWORKDAYS(Sales_Data_Analysis[[#This Row],[Order_Date]],Sales_Data_Analysis[[#This Row],[Delivery_Date]])</f>
        <v>-365</v>
      </c>
    </row>
    <row r="59" spans="1:17" x14ac:dyDescent="0.25">
      <c r="A59" s="1" t="s">
        <v>30</v>
      </c>
      <c r="B59" s="1" t="s">
        <v>31</v>
      </c>
      <c r="C59" s="1">
        <f>MONTH(Sales_Data_Analysis[[#This Row],[Order_Date]])</f>
        <v>3</v>
      </c>
      <c r="D59" s="1">
        <f>YEAR(Sales_Data_Analysis[[#This Row],[Order_Date]])</f>
        <v>2018</v>
      </c>
      <c r="E59" s="2">
        <v>43162</v>
      </c>
      <c r="F59" s="1" t="s">
        <v>32</v>
      </c>
      <c r="G59" s="1" t="s">
        <v>317</v>
      </c>
      <c r="H59" s="1" t="s">
        <v>307</v>
      </c>
      <c r="I59" s="2" t="s">
        <v>33</v>
      </c>
      <c r="J59" s="1" t="s">
        <v>34</v>
      </c>
      <c r="K59" s="18">
        <v>0</v>
      </c>
      <c r="L59" s="18">
        <v>1241</v>
      </c>
      <c r="M59" s="18">
        <v>1241</v>
      </c>
      <c r="N59" s="1" t="str">
        <f>IF(Sales_Data_Analysis[[#This Row],[Profit]]&lt;=Reference_Tables!$F$7,Reference_Tables!$G$7,IF(Sales_Data_Analysis[[#This Row],[Profit]]&lt;=Reference_Tables!$F$6,Reference_Tables!$G$6,IF(Sales_Data_Analysis[[#This Row],[Profit]]&lt;=Reference_Tables!$F$5,Reference_Tables!$G$5,Reference_Tables!$G$4)))</f>
        <v>Diamond</v>
      </c>
      <c r="O59" s="26">
        <f>VLOOKUP(Sales_Data_Analysis[[#This Row],[Gross_Sales]],Table3[],2,TRUE)</f>
        <v>0.05</v>
      </c>
      <c r="P59" s="21">
        <f>EOMONTH(Sales_Data_Analysis[[#This Row],[Order_Date]],1)</f>
        <v>43220</v>
      </c>
      <c r="Q59" s="1">
        <f>NETWORKDAYS(Sales_Data_Analysis[[#This Row],[Order_Date]],Sales_Data_Analysis[[#This Row],[Delivery_Date]])</f>
        <v>-18</v>
      </c>
    </row>
    <row r="60" spans="1:17" x14ac:dyDescent="0.25">
      <c r="A60" s="1" t="s">
        <v>39</v>
      </c>
      <c r="B60" s="1" t="s">
        <v>40</v>
      </c>
      <c r="C60" s="1">
        <f>MONTH(Sales_Data_Analysis[[#This Row],[Order_Date]])</f>
        <v>9</v>
      </c>
      <c r="D60" s="1">
        <f>YEAR(Sales_Data_Analysis[[#This Row],[Order_Date]])</f>
        <v>2019</v>
      </c>
      <c r="E60" s="2">
        <v>43163</v>
      </c>
      <c r="F60" s="1" t="s">
        <v>19</v>
      </c>
      <c r="G60" s="1" t="s">
        <v>316</v>
      </c>
      <c r="H60" s="1" t="s">
        <v>306</v>
      </c>
      <c r="I60" s="2" t="s">
        <v>10</v>
      </c>
      <c r="J60" s="1" t="s">
        <v>41</v>
      </c>
      <c r="K60" s="18">
        <v>0</v>
      </c>
      <c r="L60" s="18">
        <v>360</v>
      </c>
      <c r="M60" s="18">
        <v>360</v>
      </c>
      <c r="N60" s="1" t="str">
        <f>IF(Sales_Data_Analysis[[#This Row],[Profit]]&lt;=Reference_Tables!$F$7,Reference_Tables!$G$7,IF(Sales_Data_Analysis[[#This Row],[Profit]]&lt;=Reference_Tables!$F$6,Reference_Tables!$G$6,IF(Sales_Data_Analysis[[#This Row],[Profit]]&lt;=Reference_Tables!$F$5,Reference_Tables!$G$5,Reference_Tables!$G$4)))</f>
        <v>Gold</v>
      </c>
      <c r="O60" s="26">
        <f>VLOOKUP(Sales_Data_Analysis[[#This Row],[Gross_Sales]],Table3[],2,TRUE)</f>
        <v>0</v>
      </c>
      <c r="P60" s="21">
        <f>EOMONTH(Sales_Data_Analysis[[#This Row],[Order_Date]],1)</f>
        <v>43769</v>
      </c>
      <c r="Q60" s="1">
        <f>NETWORKDAYS(Sales_Data_Analysis[[#This Row],[Order_Date]],Sales_Data_Analysis[[#This Row],[Delivery_Date]])</f>
        <v>-410</v>
      </c>
    </row>
    <row r="61" spans="1:17" x14ac:dyDescent="0.25">
      <c r="A61" s="1" t="s">
        <v>42</v>
      </c>
      <c r="B61" s="1" t="s">
        <v>43</v>
      </c>
      <c r="C61" s="1">
        <f>MONTH(Sales_Data_Analysis[[#This Row],[Order_Date]])</f>
        <v>7</v>
      </c>
      <c r="D61" s="1">
        <f>YEAR(Sales_Data_Analysis[[#This Row],[Order_Date]])</f>
        <v>2018</v>
      </c>
      <c r="E61" s="2">
        <v>43164</v>
      </c>
      <c r="F61" s="1" t="s">
        <v>44</v>
      </c>
      <c r="G61" s="1" t="s">
        <v>315</v>
      </c>
      <c r="H61" s="1" t="s">
        <v>305</v>
      </c>
      <c r="I61" s="2" t="s">
        <v>15</v>
      </c>
      <c r="J61" s="1" t="s">
        <v>45</v>
      </c>
      <c r="K61" s="18">
        <v>0</v>
      </c>
      <c r="L61" s="18">
        <v>1196</v>
      </c>
      <c r="M61" s="18">
        <v>1196</v>
      </c>
      <c r="N61" s="1" t="str">
        <f>IF(Sales_Data_Analysis[[#This Row],[Profit]]&lt;=Reference_Tables!$F$7,Reference_Tables!$G$7,IF(Sales_Data_Analysis[[#This Row],[Profit]]&lt;=Reference_Tables!$F$6,Reference_Tables!$G$6,IF(Sales_Data_Analysis[[#This Row],[Profit]]&lt;=Reference_Tables!$F$5,Reference_Tables!$G$5,Reference_Tables!$G$4)))</f>
        <v>Diamond</v>
      </c>
      <c r="O61" s="26">
        <f>VLOOKUP(Sales_Data_Analysis[[#This Row],[Gross_Sales]],Table3[],2,TRUE)</f>
        <v>0.05</v>
      </c>
      <c r="P61" s="21">
        <f>EOMONTH(Sales_Data_Analysis[[#This Row],[Order_Date]],1)</f>
        <v>43343</v>
      </c>
      <c r="Q61" s="1">
        <f>NETWORKDAYS(Sales_Data_Analysis[[#This Row],[Order_Date]],Sales_Data_Analysis[[#This Row],[Delivery_Date]])</f>
        <v>-86</v>
      </c>
    </row>
    <row r="62" spans="1:17" x14ac:dyDescent="0.25">
      <c r="A62" s="1" t="s">
        <v>48</v>
      </c>
      <c r="B62" s="1" t="s">
        <v>49</v>
      </c>
      <c r="C62" s="1">
        <f>MONTH(Sales_Data_Analysis[[#This Row],[Order_Date]])</f>
        <v>6</v>
      </c>
      <c r="D62" s="1">
        <f>YEAR(Sales_Data_Analysis[[#This Row],[Order_Date]])</f>
        <v>2018</v>
      </c>
      <c r="E62" s="2">
        <v>43165</v>
      </c>
      <c r="F62" s="1" t="s">
        <v>50</v>
      </c>
      <c r="G62" s="1" t="s">
        <v>319</v>
      </c>
      <c r="H62" s="1" t="s">
        <v>304</v>
      </c>
      <c r="I62" s="2" t="s">
        <v>10</v>
      </c>
      <c r="J62" s="1" t="s">
        <v>11</v>
      </c>
      <c r="K62" s="18">
        <v>0</v>
      </c>
      <c r="L62" s="18">
        <v>534</v>
      </c>
      <c r="M62" s="18">
        <v>534</v>
      </c>
      <c r="N62" s="1" t="str">
        <f>IF(Sales_Data_Analysis[[#This Row],[Profit]]&lt;=Reference_Tables!$F$7,Reference_Tables!$G$7,IF(Sales_Data_Analysis[[#This Row],[Profit]]&lt;=Reference_Tables!$F$6,Reference_Tables!$G$6,IF(Sales_Data_Analysis[[#This Row],[Profit]]&lt;=Reference_Tables!$F$5,Reference_Tables!$G$5,Reference_Tables!$G$4)))</f>
        <v>Gold</v>
      </c>
      <c r="O62" s="26">
        <f>VLOOKUP(Sales_Data_Analysis[[#This Row],[Gross_Sales]],Table3[],2,TRUE)</f>
        <v>0.02</v>
      </c>
      <c r="P62" s="21">
        <f>EOMONTH(Sales_Data_Analysis[[#This Row],[Order_Date]],1)</f>
        <v>43312</v>
      </c>
      <c r="Q62" s="1">
        <f>NETWORKDAYS(Sales_Data_Analysis[[#This Row],[Order_Date]],Sales_Data_Analysis[[#This Row],[Delivery_Date]])</f>
        <v>-75</v>
      </c>
    </row>
    <row r="63" spans="1:17" x14ac:dyDescent="0.25">
      <c r="A63" s="1" t="s">
        <v>55</v>
      </c>
      <c r="B63" s="1" t="s">
        <v>56</v>
      </c>
      <c r="C63" s="1">
        <f>MONTH(Sales_Data_Analysis[[#This Row],[Order_Date]])</f>
        <v>11</v>
      </c>
      <c r="D63" s="1">
        <f>YEAR(Sales_Data_Analysis[[#This Row],[Order_Date]])</f>
        <v>2019</v>
      </c>
      <c r="E63" s="2">
        <v>43166</v>
      </c>
      <c r="F63" s="1" t="s">
        <v>32</v>
      </c>
      <c r="G63" s="1" t="s">
        <v>317</v>
      </c>
      <c r="H63" s="1" t="s">
        <v>307</v>
      </c>
      <c r="I63" s="2" t="s">
        <v>15</v>
      </c>
      <c r="J63" s="1" t="s">
        <v>16</v>
      </c>
      <c r="K63" s="18">
        <v>0</v>
      </c>
      <c r="L63" s="18">
        <v>862</v>
      </c>
      <c r="M63" s="18">
        <v>862</v>
      </c>
      <c r="N63" s="1" t="str">
        <f>IF(Sales_Data_Analysis[[#This Row],[Profit]]&lt;=Reference_Tables!$F$7,Reference_Tables!$G$7,IF(Sales_Data_Analysis[[#This Row],[Profit]]&lt;=Reference_Tables!$F$6,Reference_Tables!$G$6,IF(Sales_Data_Analysis[[#This Row],[Profit]]&lt;=Reference_Tables!$F$5,Reference_Tables!$G$5,Reference_Tables!$G$4)))</f>
        <v>Platinum</v>
      </c>
      <c r="O63" s="26">
        <f>VLOOKUP(Sales_Data_Analysis[[#This Row],[Gross_Sales]],Table3[],2,TRUE)</f>
        <v>0.02</v>
      </c>
      <c r="P63" s="21">
        <f>EOMONTH(Sales_Data_Analysis[[#This Row],[Order_Date]],1)</f>
        <v>43830</v>
      </c>
      <c r="Q63" s="1">
        <f>NETWORKDAYS(Sales_Data_Analysis[[#This Row],[Order_Date]],Sales_Data_Analysis[[#This Row],[Delivery_Date]])</f>
        <v>-441</v>
      </c>
    </row>
    <row r="64" spans="1:17" x14ac:dyDescent="0.25">
      <c r="A64" s="1" t="s">
        <v>59</v>
      </c>
      <c r="B64" s="1" t="s">
        <v>60</v>
      </c>
      <c r="C64" s="1">
        <f>MONTH(Sales_Data_Analysis[[#This Row],[Order_Date]])</f>
        <v>9</v>
      </c>
      <c r="D64" s="1">
        <f>YEAR(Sales_Data_Analysis[[#This Row],[Order_Date]])</f>
        <v>2018</v>
      </c>
      <c r="E64" s="2">
        <v>43167</v>
      </c>
      <c r="F64" s="1" t="s">
        <v>19</v>
      </c>
      <c r="G64" s="1" t="s">
        <v>316</v>
      </c>
      <c r="H64" s="1" t="s">
        <v>306</v>
      </c>
      <c r="I64" s="2" t="s">
        <v>15</v>
      </c>
      <c r="J64" s="1" t="s">
        <v>16</v>
      </c>
      <c r="K64" s="18">
        <v>0</v>
      </c>
      <c r="L64" s="18">
        <v>1485</v>
      </c>
      <c r="M64" s="18">
        <v>1485</v>
      </c>
      <c r="N64" s="1" t="str">
        <f>IF(Sales_Data_Analysis[[#This Row],[Profit]]&lt;=Reference_Tables!$F$7,Reference_Tables!$G$7,IF(Sales_Data_Analysis[[#This Row],[Profit]]&lt;=Reference_Tables!$F$6,Reference_Tables!$G$6,IF(Sales_Data_Analysis[[#This Row],[Profit]]&lt;=Reference_Tables!$F$5,Reference_Tables!$G$5,Reference_Tables!$G$4)))</f>
        <v>Diamond</v>
      </c>
      <c r="O64" s="26">
        <f>VLOOKUP(Sales_Data_Analysis[[#This Row],[Gross_Sales]],Table3[],2,TRUE)</f>
        <v>0.05</v>
      </c>
      <c r="P64" s="21">
        <f>EOMONTH(Sales_Data_Analysis[[#This Row],[Order_Date]],1)</f>
        <v>43404</v>
      </c>
      <c r="Q64" s="1">
        <f>NETWORKDAYS(Sales_Data_Analysis[[#This Row],[Order_Date]],Sales_Data_Analysis[[#This Row],[Delivery_Date]])</f>
        <v>-138</v>
      </c>
    </row>
    <row r="65" spans="1:17" x14ac:dyDescent="0.25">
      <c r="A65" s="1" t="s">
        <v>61</v>
      </c>
      <c r="B65" s="1" t="s">
        <v>62</v>
      </c>
      <c r="C65" s="1">
        <f>MONTH(Sales_Data_Analysis[[#This Row],[Order_Date]])</f>
        <v>10</v>
      </c>
      <c r="D65" s="1">
        <f>YEAR(Sales_Data_Analysis[[#This Row],[Order_Date]])</f>
        <v>2018</v>
      </c>
      <c r="E65" s="2">
        <v>43168</v>
      </c>
      <c r="F65" s="1" t="s">
        <v>63</v>
      </c>
      <c r="G65" s="1" t="s">
        <v>318</v>
      </c>
      <c r="H65" s="1" t="s">
        <v>306</v>
      </c>
      <c r="I65" s="2" t="s">
        <v>15</v>
      </c>
      <c r="J65" s="1" t="s">
        <v>64</v>
      </c>
      <c r="K65" s="18">
        <v>0</v>
      </c>
      <c r="L65" s="18">
        <v>1489</v>
      </c>
      <c r="M65" s="18">
        <v>1489</v>
      </c>
      <c r="N65" s="1" t="str">
        <f>IF(Sales_Data_Analysis[[#This Row],[Profit]]&lt;=Reference_Tables!$F$7,Reference_Tables!$G$7,IF(Sales_Data_Analysis[[#This Row],[Profit]]&lt;=Reference_Tables!$F$6,Reference_Tables!$G$6,IF(Sales_Data_Analysis[[#This Row],[Profit]]&lt;=Reference_Tables!$F$5,Reference_Tables!$G$5,Reference_Tables!$G$4)))</f>
        <v>Diamond</v>
      </c>
      <c r="O65" s="26">
        <f>VLOOKUP(Sales_Data_Analysis[[#This Row],[Gross_Sales]],Table3[],2,TRUE)</f>
        <v>0.05</v>
      </c>
      <c r="P65" s="21">
        <f>EOMONTH(Sales_Data_Analysis[[#This Row],[Order_Date]],1)</f>
        <v>43434</v>
      </c>
      <c r="Q65" s="1">
        <f>NETWORKDAYS(Sales_Data_Analysis[[#This Row],[Order_Date]],Sales_Data_Analysis[[#This Row],[Delivery_Date]])</f>
        <v>-165</v>
      </c>
    </row>
    <row r="66" spans="1:17" x14ac:dyDescent="0.25">
      <c r="A66" s="1" t="s">
        <v>73</v>
      </c>
      <c r="B66" s="1" t="s">
        <v>74</v>
      </c>
      <c r="C66" s="1">
        <f>MONTH(Sales_Data_Analysis[[#This Row],[Order_Date]])</f>
        <v>7</v>
      </c>
      <c r="D66" s="1">
        <f>YEAR(Sales_Data_Analysis[[#This Row],[Order_Date]])</f>
        <v>2018</v>
      </c>
      <c r="E66" s="2">
        <v>43169</v>
      </c>
      <c r="F66" s="1" t="s">
        <v>32</v>
      </c>
      <c r="G66" s="1" t="s">
        <v>317</v>
      </c>
      <c r="H66" s="1" t="s">
        <v>307</v>
      </c>
      <c r="I66" s="2" t="s">
        <v>20</v>
      </c>
      <c r="J66" s="1" t="s">
        <v>21</v>
      </c>
      <c r="K66" s="18">
        <v>0</v>
      </c>
      <c r="L66" s="18">
        <v>876</v>
      </c>
      <c r="M66" s="18">
        <v>876</v>
      </c>
      <c r="N66" s="1" t="str">
        <f>IF(Sales_Data_Analysis[[#This Row],[Profit]]&lt;=Reference_Tables!$F$7,Reference_Tables!$G$7,IF(Sales_Data_Analysis[[#This Row],[Profit]]&lt;=Reference_Tables!$F$6,Reference_Tables!$G$6,IF(Sales_Data_Analysis[[#This Row],[Profit]]&lt;=Reference_Tables!$F$5,Reference_Tables!$G$5,Reference_Tables!$G$4)))</f>
        <v>Platinum</v>
      </c>
      <c r="O66" s="26">
        <f>VLOOKUP(Sales_Data_Analysis[[#This Row],[Gross_Sales]],Table3[],2,TRUE)</f>
        <v>0.02</v>
      </c>
      <c r="P66" s="21">
        <f>EOMONTH(Sales_Data_Analysis[[#This Row],[Order_Date]],1)</f>
        <v>43343</v>
      </c>
      <c r="Q66" s="1">
        <f>NETWORKDAYS(Sales_Data_Analysis[[#This Row],[Order_Date]],Sales_Data_Analysis[[#This Row],[Delivery_Date]])</f>
        <v>-101</v>
      </c>
    </row>
    <row r="67" spans="1:17" x14ac:dyDescent="0.25">
      <c r="A67" s="1" t="s">
        <v>80</v>
      </c>
      <c r="B67" s="1" t="s">
        <v>76</v>
      </c>
      <c r="C67" s="1">
        <f>MONTH(Sales_Data_Analysis[[#This Row],[Order_Date]])</f>
        <v>9</v>
      </c>
      <c r="D67" s="1">
        <f>YEAR(Sales_Data_Analysis[[#This Row],[Order_Date]])</f>
        <v>2018</v>
      </c>
      <c r="E67" s="2">
        <v>43170</v>
      </c>
      <c r="F67" s="1" t="s">
        <v>28</v>
      </c>
      <c r="G67" s="1" t="s">
        <v>312</v>
      </c>
      <c r="H67" s="1" t="s">
        <v>305</v>
      </c>
      <c r="I67" s="2" t="s">
        <v>33</v>
      </c>
      <c r="J67" s="1" t="s">
        <v>54</v>
      </c>
      <c r="K67" s="18">
        <v>0</v>
      </c>
      <c r="L67" s="18">
        <v>878</v>
      </c>
      <c r="M67" s="18">
        <v>878</v>
      </c>
      <c r="N67" s="1" t="str">
        <f>IF(Sales_Data_Analysis[[#This Row],[Profit]]&lt;=Reference_Tables!$F$7,Reference_Tables!$G$7,IF(Sales_Data_Analysis[[#This Row],[Profit]]&lt;=Reference_Tables!$F$6,Reference_Tables!$G$6,IF(Sales_Data_Analysis[[#This Row],[Profit]]&lt;=Reference_Tables!$F$5,Reference_Tables!$G$5,Reference_Tables!$G$4)))</f>
        <v>Platinum</v>
      </c>
      <c r="O67" s="26">
        <f>VLOOKUP(Sales_Data_Analysis[[#This Row],[Gross_Sales]],Table3[],2,TRUE)</f>
        <v>0.02</v>
      </c>
      <c r="P67" s="21">
        <f>EOMONTH(Sales_Data_Analysis[[#This Row],[Order_Date]],1)</f>
        <v>43404</v>
      </c>
      <c r="Q67" s="1">
        <f>NETWORKDAYS(Sales_Data_Analysis[[#This Row],[Order_Date]],Sales_Data_Analysis[[#This Row],[Delivery_Date]])</f>
        <v>-135</v>
      </c>
    </row>
    <row r="68" spans="1:17" x14ac:dyDescent="0.25">
      <c r="A68" s="1" t="s">
        <v>81</v>
      </c>
      <c r="B68" s="1" t="s">
        <v>82</v>
      </c>
      <c r="C68" s="1">
        <f>MONTH(Sales_Data_Analysis[[#This Row],[Order_Date]])</f>
        <v>9</v>
      </c>
      <c r="D68" s="1">
        <f>YEAR(Sales_Data_Analysis[[#This Row],[Order_Date]])</f>
        <v>2019</v>
      </c>
      <c r="E68" s="2">
        <v>43171</v>
      </c>
      <c r="F68" s="1" t="s">
        <v>9</v>
      </c>
      <c r="G68" s="1" t="s">
        <v>314</v>
      </c>
      <c r="H68" s="1" t="s">
        <v>306</v>
      </c>
      <c r="I68" s="2" t="s">
        <v>15</v>
      </c>
      <c r="J68" s="1" t="s">
        <v>16</v>
      </c>
      <c r="K68" s="18">
        <v>0</v>
      </c>
      <c r="L68" s="18">
        <v>274</v>
      </c>
      <c r="M68" s="18">
        <v>274</v>
      </c>
      <c r="N68" s="1" t="str">
        <f>IF(Sales_Data_Analysis[[#This Row],[Profit]]&lt;=Reference_Tables!$F$7,Reference_Tables!$G$7,IF(Sales_Data_Analysis[[#This Row],[Profit]]&lt;=Reference_Tables!$F$6,Reference_Tables!$G$6,IF(Sales_Data_Analysis[[#This Row],[Profit]]&lt;=Reference_Tables!$F$5,Reference_Tables!$G$5,Reference_Tables!$G$4)))</f>
        <v>Silver</v>
      </c>
      <c r="O68" s="26">
        <f>VLOOKUP(Sales_Data_Analysis[[#This Row],[Gross_Sales]],Table3[],2,TRUE)</f>
        <v>0</v>
      </c>
      <c r="P68" s="21">
        <f>EOMONTH(Sales_Data_Analysis[[#This Row],[Order_Date]],1)</f>
        <v>43769</v>
      </c>
      <c r="Q68" s="1">
        <f>NETWORKDAYS(Sales_Data_Analysis[[#This Row],[Order_Date]],Sales_Data_Analysis[[#This Row],[Delivery_Date]])</f>
        <v>-391</v>
      </c>
    </row>
    <row r="69" spans="1:17" x14ac:dyDescent="0.25">
      <c r="A69" s="1" t="s">
        <v>88</v>
      </c>
      <c r="B69" s="1" t="s">
        <v>89</v>
      </c>
      <c r="C69" s="1">
        <f>MONTH(Sales_Data_Analysis[[#This Row],[Order_Date]])</f>
        <v>3</v>
      </c>
      <c r="D69" s="1">
        <f>YEAR(Sales_Data_Analysis[[#This Row],[Order_Date]])</f>
        <v>2019</v>
      </c>
      <c r="E69" s="2">
        <v>43172</v>
      </c>
      <c r="F69" s="1" t="s">
        <v>28</v>
      </c>
      <c r="G69" s="1" t="s">
        <v>312</v>
      </c>
      <c r="H69" s="1" t="s">
        <v>305</v>
      </c>
      <c r="I69" s="2" t="s">
        <v>33</v>
      </c>
      <c r="J69" s="1" t="s">
        <v>54</v>
      </c>
      <c r="K69" s="18">
        <v>0</v>
      </c>
      <c r="L69" s="18">
        <v>919</v>
      </c>
      <c r="M69" s="18">
        <v>919</v>
      </c>
      <c r="N69" s="1" t="str">
        <f>IF(Sales_Data_Analysis[[#This Row],[Profit]]&lt;=Reference_Tables!$F$7,Reference_Tables!$G$7,IF(Sales_Data_Analysis[[#This Row],[Profit]]&lt;=Reference_Tables!$F$6,Reference_Tables!$G$6,IF(Sales_Data_Analysis[[#This Row],[Profit]]&lt;=Reference_Tables!$F$5,Reference_Tables!$G$5,Reference_Tables!$G$4)))</f>
        <v>Diamond</v>
      </c>
      <c r="O69" s="26">
        <f>VLOOKUP(Sales_Data_Analysis[[#This Row],[Gross_Sales]],Table3[],2,TRUE)</f>
        <v>0.02</v>
      </c>
      <c r="P69" s="21">
        <f>EOMONTH(Sales_Data_Analysis[[#This Row],[Order_Date]],1)</f>
        <v>43585</v>
      </c>
      <c r="Q69" s="1">
        <f>NETWORKDAYS(Sales_Data_Analysis[[#This Row],[Order_Date]],Sales_Data_Analysis[[#This Row],[Delivery_Date]])</f>
        <v>-259</v>
      </c>
    </row>
    <row r="70" spans="1:17" x14ac:dyDescent="0.25">
      <c r="A70" s="1" t="s">
        <v>90</v>
      </c>
      <c r="B70" s="1" t="s">
        <v>91</v>
      </c>
      <c r="C70" s="1">
        <f>MONTH(Sales_Data_Analysis[[#This Row],[Order_Date]])</f>
        <v>2</v>
      </c>
      <c r="D70" s="1">
        <f>YEAR(Sales_Data_Analysis[[#This Row],[Order_Date]])</f>
        <v>2019</v>
      </c>
      <c r="E70" s="2">
        <v>43173</v>
      </c>
      <c r="F70" s="1" t="s">
        <v>44</v>
      </c>
      <c r="G70" s="1" t="s">
        <v>315</v>
      </c>
      <c r="H70" s="1" t="s">
        <v>305</v>
      </c>
      <c r="I70" s="2" t="s">
        <v>20</v>
      </c>
      <c r="J70" s="1" t="s">
        <v>29</v>
      </c>
      <c r="K70" s="18">
        <v>0</v>
      </c>
      <c r="L70" s="18">
        <v>379</v>
      </c>
      <c r="M70" s="18">
        <v>379</v>
      </c>
      <c r="N70" s="1" t="str">
        <f>IF(Sales_Data_Analysis[[#This Row],[Profit]]&lt;=Reference_Tables!$F$7,Reference_Tables!$G$7,IF(Sales_Data_Analysis[[#This Row],[Profit]]&lt;=Reference_Tables!$F$6,Reference_Tables!$G$6,IF(Sales_Data_Analysis[[#This Row],[Profit]]&lt;=Reference_Tables!$F$5,Reference_Tables!$G$5,Reference_Tables!$G$4)))</f>
        <v>Gold</v>
      </c>
      <c r="O70" s="26">
        <f>VLOOKUP(Sales_Data_Analysis[[#This Row],[Gross_Sales]],Table3[],2,TRUE)</f>
        <v>0</v>
      </c>
      <c r="P70" s="21">
        <f>EOMONTH(Sales_Data_Analysis[[#This Row],[Order_Date]],1)</f>
        <v>43555</v>
      </c>
      <c r="Q70" s="1">
        <f>NETWORKDAYS(Sales_Data_Analysis[[#This Row],[Order_Date]],Sales_Data_Analysis[[#This Row],[Delivery_Date]])</f>
        <v>-246</v>
      </c>
    </row>
    <row r="71" spans="1:17" x14ac:dyDescent="0.25">
      <c r="A71" s="1" t="s">
        <v>92</v>
      </c>
      <c r="B71" s="1" t="s">
        <v>93</v>
      </c>
      <c r="C71" s="1">
        <f>MONTH(Sales_Data_Analysis[[#This Row],[Order_Date]])</f>
        <v>7</v>
      </c>
      <c r="D71" s="1">
        <f>YEAR(Sales_Data_Analysis[[#This Row],[Order_Date]])</f>
        <v>2018</v>
      </c>
      <c r="E71" s="2">
        <v>43174</v>
      </c>
      <c r="F71" s="1" t="s">
        <v>9</v>
      </c>
      <c r="G71" s="1" t="s">
        <v>314</v>
      </c>
      <c r="H71" s="1" t="s">
        <v>306</v>
      </c>
      <c r="I71" s="2" t="s">
        <v>37</v>
      </c>
      <c r="J71" s="1" t="s">
        <v>94</v>
      </c>
      <c r="K71" s="18">
        <v>0</v>
      </c>
      <c r="L71" s="18">
        <v>583</v>
      </c>
      <c r="M71" s="18">
        <v>583</v>
      </c>
      <c r="N71" s="1" t="str">
        <f>IF(Sales_Data_Analysis[[#This Row],[Profit]]&lt;=Reference_Tables!$F$7,Reference_Tables!$G$7,IF(Sales_Data_Analysis[[#This Row],[Profit]]&lt;=Reference_Tables!$F$6,Reference_Tables!$G$6,IF(Sales_Data_Analysis[[#This Row],[Profit]]&lt;=Reference_Tables!$F$5,Reference_Tables!$G$5,Reference_Tables!$G$4)))</f>
        <v>Gold</v>
      </c>
      <c r="O71" s="26">
        <f>VLOOKUP(Sales_Data_Analysis[[#This Row],[Gross_Sales]],Table3[],2,TRUE)</f>
        <v>0.02</v>
      </c>
      <c r="P71" s="21">
        <f>EOMONTH(Sales_Data_Analysis[[#This Row],[Order_Date]],1)</f>
        <v>43343</v>
      </c>
      <c r="Q71" s="1">
        <f>NETWORKDAYS(Sales_Data_Analysis[[#This Row],[Order_Date]],Sales_Data_Analysis[[#This Row],[Delivery_Date]])</f>
        <v>-80</v>
      </c>
    </row>
    <row r="72" spans="1:17" x14ac:dyDescent="0.25">
      <c r="A72" s="1" t="s">
        <v>98</v>
      </c>
      <c r="B72" s="1" t="s">
        <v>99</v>
      </c>
      <c r="C72" s="1">
        <f>MONTH(Sales_Data_Analysis[[#This Row],[Order_Date]])</f>
        <v>11</v>
      </c>
      <c r="D72" s="1">
        <f>YEAR(Sales_Data_Analysis[[#This Row],[Order_Date]])</f>
        <v>2019</v>
      </c>
      <c r="E72" s="2">
        <v>43175</v>
      </c>
      <c r="F72" s="1" t="s">
        <v>19</v>
      </c>
      <c r="G72" s="1" t="s">
        <v>316</v>
      </c>
      <c r="H72" s="1" t="s">
        <v>306</v>
      </c>
      <c r="I72" s="2" t="s">
        <v>10</v>
      </c>
      <c r="J72" s="1" t="s">
        <v>11</v>
      </c>
      <c r="K72" s="18">
        <v>0</v>
      </c>
      <c r="L72" s="18">
        <v>678</v>
      </c>
      <c r="M72" s="18">
        <v>678</v>
      </c>
      <c r="N72" s="1" t="str">
        <f>IF(Sales_Data_Analysis[[#This Row],[Profit]]&lt;=Reference_Tables!$F$7,Reference_Tables!$G$7,IF(Sales_Data_Analysis[[#This Row],[Profit]]&lt;=Reference_Tables!$F$6,Reference_Tables!$G$6,IF(Sales_Data_Analysis[[#This Row],[Profit]]&lt;=Reference_Tables!$F$5,Reference_Tables!$G$5,Reference_Tables!$G$4)))</f>
        <v>Platinum</v>
      </c>
      <c r="O72" s="26">
        <f>VLOOKUP(Sales_Data_Analysis[[#This Row],[Gross_Sales]],Table3[],2,TRUE)</f>
        <v>0.02</v>
      </c>
      <c r="P72" s="21">
        <f>EOMONTH(Sales_Data_Analysis[[#This Row],[Order_Date]],1)</f>
        <v>43830</v>
      </c>
      <c r="Q72" s="1">
        <f>NETWORKDAYS(Sales_Data_Analysis[[#This Row],[Order_Date]],Sales_Data_Analysis[[#This Row],[Delivery_Date]])</f>
        <v>-431</v>
      </c>
    </row>
    <row r="73" spans="1:17" x14ac:dyDescent="0.25">
      <c r="A73" s="1" t="s">
        <v>100</v>
      </c>
      <c r="B73" s="1" t="s">
        <v>101</v>
      </c>
      <c r="C73" s="1">
        <f>MONTH(Sales_Data_Analysis[[#This Row],[Order_Date]])</f>
        <v>3</v>
      </c>
      <c r="D73" s="1">
        <f>YEAR(Sales_Data_Analysis[[#This Row],[Order_Date]])</f>
        <v>2018</v>
      </c>
      <c r="E73" s="2">
        <v>43176</v>
      </c>
      <c r="F73" s="1" t="s">
        <v>19</v>
      </c>
      <c r="G73" s="1" t="s">
        <v>316</v>
      </c>
      <c r="H73" s="1" t="s">
        <v>306</v>
      </c>
      <c r="I73" s="2" t="s">
        <v>20</v>
      </c>
      <c r="J73" s="1" t="s">
        <v>29</v>
      </c>
      <c r="K73" s="18">
        <v>0</v>
      </c>
      <c r="L73" s="18">
        <v>865</v>
      </c>
      <c r="M73" s="18">
        <v>865</v>
      </c>
      <c r="N73" s="1" t="str">
        <f>IF(Sales_Data_Analysis[[#This Row],[Profit]]&lt;=Reference_Tables!$F$7,Reference_Tables!$G$7,IF(Sales_Data_Analysis[[#This Row],[Profit]]&lt;=Reference_Tables!$F$6,Reference_Tables!$G$6,IF(Sales_Data_Analysis[[#This Row],[Profit]]&lt;=Reference_Tables!$F$5,Reference_Tables!$G$5,Reference_Tables!$G$4)))</f>
        <v>Platinum</v>
      </c>
      <c r="O73" s="26">
        <f>VLOOKUP(Sales_Data_Analysis[[#This Row],[Gross_Sales]],Table3[],2,TRUE)</f>
        <v>0.02</v>
      </c>
      <c r="P73" s="21">
        <f>EOMONTH(Sales_Data_Analysis[[#This Row],[Order_Date]],1)</f>
        <v>43220</v>
      </c>
      <c r="Q73" s="1">
        <f>NETWORKDAYS(Sales_Data_Analysis[[#This Row],[Order_Date]],Sales_Data_Analysis[[#This Row],[Delivery_Date]])</f>
        <v>9</v>
      </c>
    </row>
    <row r="74" spans="1:17" x14ac:dyDescent="0.25">
      <c r="A74" s="1" t="s">
        <v>106</v>
      </c>
      <c r="B74" s="1" t="s">
        <v>74</v>
      </c>
      <c r="C74" s="1">
        <f>MONTH(Sales_Data_Analysis[[#This Row],[Order_Date]])</f>
        <v>7</v>
      </c>
      <c r="D74" s="1">
        <f>YEAR(Sales_Data_Analysis[[#This Row],[Order_Date]])</f>
        <v>2018</v>
      </c>
      <c r="E74" s="2">
        <v>43177</v>
      </c>
      <c r="F74" s="1" t="s">
        <v>28</v>
      </c>
      <c r="G74" s="1" t="s">
        <v>312</v>
      </c>
      <c r="H74" s="1" t="s">
        <v>305</v>
      </c>
      <c r="I74" s="2" t="s">
        <v>37</v>
      </c>
      <c r="J74" s="1" t="s">
        <v>38</v>
      </c>
      <c r="K74" s="18">
        <v>0</v>
      </c>
      <c r="L74" s="18">
        <v>1161</v>
      </c>
      <c r="M74" s="18">
        <v>1161</v>
      </c>
      <c r="N74" s="1" t="str">
        <f>IF(Sales_Data_Analysis[[#This Row],[Profit]]&lt;=Reference_Tables!$F$7,Reference_Tables!$G$7,IF(Sales_Data_Analysis[[#This Row],[Profit]]&lt;=Reference_Tables!$F$6,Reference_Tables!$G$6,IF(Sales_Data_Analysis[[#This Row],[Profit]]&lt;=Reference_Tables!$F$5,Reference_Tables!$G$5,Reference_Tables!$G$4)))</f>
        <v>Diamond</v>
      </c>
      <c r="O74" s="26">
        <f>VLOOKUP(Sales_Data_Analysis[[#This Row],[Gross_Sales]],Table3[],2,TRUE)</f>
        <v>0.05</v>
      </c>
      <c r="P74" s="21">
        <f>EOMONTH(Sales_Data_Analysis[[#This Row],[Order_Date]],1)</f>
        <v>43343</v>
      </c>
      <c r="Q74" s="1">
        <f>NETWORKDAYS(Sales_Data_Analysis[[#This Row],[Order_Date]],Sales_Data_Analysis[[#This Row],[Delivery_Date]])</f>
        <v>-96</v>
      </c>
    </row>
    <row r="75" spans="1:17" x14ac:dyDescent="0.25">
      <c r="A75" s="1" t="s">
        <v>107</v>
      </c>
      <c r="B75" s="1" t="s">
        <v>108</v>
      </c>
      <c r="C75" s="1">
        <f>MONTH(Sales_Data_Analysis[[#This Row],[Order_Date]])</f>
        <v>4</v>
      </c>
      <c r="D75" s="1">
        <f>YEAR(Sales_Data_Analysis[[#This Row],[Order_Date]])</f>
        <v>2018</v>
      </c>
      <c r="E75" s="2">
        <v>43178</v>
      </c>
      <c r="F75" s="1" t="s">
        <v>19</v>
      </c>
      <c r="G75" s="1" t="s">
        <v>316</v>
      </c>
      <c r="H75" s="1" t="s">
        <v>306</v>
      </c>
      <c r="I75" s="2" t="s">
        <v>33</v>
      </c>
      <c r="J75" s="1" t="s">
        <v>97</v>
      </c>
      <c r="K75" s="18">
        <v>0</v>
      </c>
      <c r="L75" s="18">
        <v>273</v>
      </c>
      <c r="M75" s="18">
        <v>273</v>
      </c>
      <c r="N75" s="1" t="str">
        <f>IF(Sales_Data_Analysis[[#This Row],[Profit]]&lt;=Reference_Tables!$F$7,Reference_Tables!$G$7,IF(Sales_Data_Analysis[[#This Row],[Profit]]&lt;=Reference_Tables!$F$6,Reference_Tables!$G$6,IF(Sales_Data_Analysis[[#This Row],[Profit]]&lt;=Reference_Tables!$F$5,Reference_Tables!$G$5,Reference_Tables!$G$4)))</f>
        <v>Silver</v>
      </c>
      <c r="O75" s="26">
        <f>VLOOKUP(Sales_Data_Analysis[[#This Row],[Gross_Sales]],Table3[],2,TRUE)</f>
        <v>0</v>
      </c>
      <c r="P75" s="21">
        <f>EOMONTH(Sales_Data_Analysis[[#This Row],[Order_Date]],1)</f>
        <v>43251</v>
      </c>
      <c r="Q75" s="1">
        <f>NETWORKDAYS(Sales_Data_Analysis[[#This Row],[Order_Date]],Sales_Data_Analysis[[#This Row],[Delivery_Date]])</f>
        <v>-15</v>
      </c>
    </row>
    <row r="76" spans="1:17" x14ac:dyDescent="0.25">
      <c r="A76" s="1" t="s">
        <v>109</v>
      </c>
      <c r="B76" s="1" t="s">
        <v>110</v>
      </c>
      <c r="C76" s="1">
        <f>MONTH(Sales_Data_Analysis[[#This Row],[Order_Date]])</f>
        <v>2</v>
      </c>
      <c r="D76" s="1">
        <f>YEAR(Sales_Data_Analysis[[#This Row],[Order_Date]])</f>
        <v>2018</v>
      </c>
      <c r="E76" s="2">
        <v>43179</v>
      </c>
      <c r="F76" s="1" t="s">
        <v>9</v>
      </c>
      <c r="G76" s="1" t="s">
        <v>314</v>
      </c>
      <c r="H76" s="1" t="s">
        <v>306</v>
      </c>
      <c r="I76" s="2" t="s">
        <v>15</v>
      </c>
      <c r="J76" s="1" t="s">
        <v>64</v>
      </c>
      <c r="K76" s="18">
        <v>0</v>
      </c>
      <c r="L76" s="18">
        <v>351</v>
      </c>
      <c r="M76" s="18">
        <v>351</v>
      </c>
      <c r="N76" s="1" t="str">
        <f>IF(Sales_Data_Analysis[[#This Row],[Profit]]&lt;=Reference_Tables!$F$7,Reference_Tables!$G$7,IF(Sales_Data_Analysis[[#This Row],[Profit]]&lt;=Reference_Tables!$F$6,Reference_Tables!$G$6,IF(Sales_Data_Analysis[[#This Row],[Profit]]&lt;=Reference_Tables!$F$5,Reference_Tables!$G$5,Reference_Tables!$G$4)))</f>
        <v>Gold</v>
      </c>
      <c r="O76" s="26">
        <f>VLOOKUP(Sales_Data_Analysis[[#This Row],[Gross_Sales]],Table3[],2,TRUE)</f>
        <v>0</v>
      </c>
      <c r="P76" s="21">
        <f>EOMONTH(Sales_Data_Analysis[[#This Row],[Order_Date]],1)</f>
        <v>43190</v>
      </c>
      <c r="Q76" s="1">
        <f>NETWORKDAYS(Sales_Data_Analysis[[#This Row],[Order_Date]],Sales_Data_Analysis[[#This Row],[Delivery_Date]])</f>
        <v>23</v>
      </c>
    </row>
    <row r="77" spans="1:17" x14ac:dyDescent="0.25">
      <c r="A77" s="1" t="s">
        <v>112</v>
      </c>
      <c r="B77" s="1" t="s">
        <v>113</v>
      </c>
      <c r="C77" s="1">
        <f>MONTH(Sales_Data_Analysis[[#This Row],[Order_Date]])</f>
        <v>7</v>
      </c>
      <c r="D77" s="1">
        <f>YEAR(Sales_Data_Analysis[[#This Row],[Order_Date]])</f>
        <v>2019</v>
      </c>
      <c r="E77" s="2">
        <v>43180</v>
      </c>
      <c r="F77" s="1" t="s">
        <v>44</v>
      </c>
      <c r="G77" s="1" t="s">
        <v>315</v>
      </c>
      <c r="H77" s="1" t="s">
        <v>305</v>
      </c>
      <c r="I77" s="2" t="s">
        <v>37</v>
      </c>
      <c r="J77" s="1" t="s">
        <v>38</v>
      </c>
      <c r="K77" s="18">
        <v>0</v>
      </c>
      <c r="L77" s="18">
        <v>266</v>
      </c>
      <c r="M77" s="18">
        <v>266</v>
      </c>
      <c r="N77" s="1" t="str">
        <f>IF(Sales_Data_Analysis[[#This Row],[Profit]]&lt;=Reference_Tables!$F$7,Reference_Tables!$G$7,IF(Sales_Data_Analysis[[#This Row],[Profit]]&lt;=Reference_Tables!$F$6,Reference_Tables!$G$6,IF(Sales_Data_Analysis[[#This Row],[Profit]]&lt;=Reference_Tables!$F$5,Reference_Tables!$G$5,Reference_Tables!$G$4)))</f>
        <v>Silver</v>
      </c>
      <c r="O77" s="26">
        <f>VLOOKUP(Sales_Data_Analysis[[#This Row],[Gross_Sales]],Table3[],2,TRUE)</f>
        <v>0</v>
      </c>
      <c r="P77" s="21">
        <f>EOMONTH(Sales_Data_Analysis[[#This Row],[Order_Date]],1)</f>
        <v>43708</v>
      </c>
      <c r="Q77" s="1">
        <f>NETWORKDAYS(Sales_Data_Analysis[[#This Row],[Order_Date]],Sales_Data_Analysis[[#This Row],[Delivery_Date]])</f>
        <v>-337</v>
      </c>
    </row>
    <row r="78" spans="1:17" x14ac:dyDescent="0.25">
      <c r="A78" s="1" t="s">
        <v>114</v>
      </c>
      <c r="B78" s="1" t="s">
        <v>115</v>
      </c>
      <c r="C78" s="1">
        <f>MONTH(Sales_Data_Analysis[[#This Row],[Order_Date]])</f>
        <v>10</v>
      </c>
      <c r="D78" s="1">
        <f>YEAR(Sales_Data_Analysis[[#This Row],[Order_Date]])</f>
        <v>2018</v>
      </c>
      <c r="E78" s="2">
        <v>43181</v>
      </c>
      <c r="F78" s="1" t="s">
        <v>14</v>
      </c>
      <c r="G78" s="1" t="s">
        <v>310</v>
      </c>
      <c r="H78" s="1" t="s">
        <v>304</v>
      </c>
      <c r="I78" s="2" t="s">
        <v>33</v>
      </c>
      <c r="J78" s="1" t="s">
        <v>97</v>
      </c>
      <c r="K78" s="18">
        <v>0</v>
      </c>
      <c r="L78" s="18">
        <v>1257</v>
      </c>
      <c r="M78" s="18">
        <v>1257</v>
      </c>
      <c r="N78" s="1" t="str">
        <f>IF(Sales_Data_Analysis[[#This Row],[Profit]]&lt;=Reference_Tables!$F$7,Reference_Tables!$G$7,IF(Sales_Data_Analysis[[#This Row],[Profit]]&lt;=Reference_Tables!$F$6,Reference_Tables!$G$6,IF(Sales_Data_Analysis[[#This Row],[Profit]]&lt;=Reference_Tables!$F$5,Reference_Tables!$G$5,Reference_Tables!$G$4)))</f>
        <v>Diamond</v>
      </c>
      <c r="O78" s="26">
        <f>VLOOKUP(Sales_Data_Analysis[[#This Row],[Gross_Sales]],Table3[],2,TRUE)</f>
        <v>0.05</v>
      </c>
      <c r="P78" s="21">
        <f>EOMONTH(Sales_Data_Analysis[[#This Row],[Order_Date]],1)</f>
        <v>43434</v>
      </c>
      <c r="Q78" s="1">
        <f>NETWORKDAYS(Sales_Data_Analysis[[#This Row],[Order_Date]],Sales_Data_Analysis[[#This Row],[Delivery_Date]])</f>
        <v>-143</v>
      </c>
    </row>
    <row r="79" spans="1:17" x14ac:dyDescent="0.25">
      <c r="A79" s="1" t="s">
        <v>116</v>
      </c>
      <c r="B79" s="1" t="s">
        <v>117</v>
      </c>
      <c r="C79" s="1">
        <f>MONTH(Sales_Data_Analysis[[#This Row],[Order_Date]])</f>
        <v>4</v>
      </c>
      <c r="D79" s="1">
        <f>YEAR(Sales_Data_Analysis[[#This Row],[Order_Date]])</f>
        <v>2018</v>
      </c>
      <c r="E79" s="2">
        <v>43182</v>
      </c>
      <c r="F79" s="1" t="s">
        <v>53</v>
      </c>
      <c r="G79" s="1" t="s">
        <v>313</v>
      </c>
      <c r="H79" s="1" t="s">
        <v>304</v>
      </c>
      <c r="I79" s="2" t="s">
        <v>33</v>
      </c>
      <c r="J79" s="1" t="s">
        <v>54</v>
      </c>
      <c r="K79" s="18">
        <v>0</v>
      </c>
      <c r="L79" s="18">
        <v>663</v>
      </c>
      <c r="M79" s="18">
        <v>663</v>
      </c>
      <c r="N79" s="1" t="str">
        <f>IF(Sales_Data_Analysis[[#This Row],[Profit]]&lt;=Reference_Tables!$F$7,Reference_Tables!$G$7,IF(Sales_Data_Analysis[[#This Row],[Profit]]&lt;=Reference_Tables!$F$6,Reference_Tables!$G$6,IF(Sales_Data_Analysis[[#This Row],[Profit]]&lt;=Reference_Tables!$F$5,Reference_Tables!$G$5,Reference_Tables!$G$4)))</f>
        <v>Platinum</v>
      </c>
      <c r="O79" s="26">
        <f>VLOOKUP(Sales_Data_Analysis[[#This Row],[Gross_Sales]],Table3[],2,TRUE)</f>
        <v>0.02</v>
      </c>
      <c r="P79" s="21">
        <f>EOMONTH(Sales_Data_Analysis[[#This Row],[Order_Date]],1)</f>
        <v>43251</v>
      </c>
      <c r="Q79" s="1">
        <f>NETWORKDAYS(Sales_Data_Analysis[[#This Row],[Order_Date]],Sales_Data_Analysis[[#This Row],[Delivery_Date]])</f>
        <v>-18</v>
      </c>
    </row>
    <row r="80" spans="1:17" x14ac:dyDescent="0.25">
      <c r="A80" s="1" t="s">
        <v>118</v>
      </c>
      <c r="B80" s="1" t="s">
        <v>119</v>
      </c>
      <c r="C80" s="1">
        <f>MONTH(Sales_Data_Analysis[[#This Row],[Order_Date]])</f>
        <v>3</v>
      </c>
      <c r="D80" s="1">
        <f>YEAR(Sales_Data_Analysis[[#This Row],[Order_Date]])</f>
        <v>2019</v>
      </c>
      <c r="E80" s="2">
        <v>43183</v>
      </c>
      <c r="F80" s="1" t="s">
        <v>9</v>
      </c>
      <c r="G80" s="1" t="s">
        <v>314</v>
      </c>
      <c r="H80" s="1" t="s">
        <v>306</v>
      </c>
      <c r="I80" s="2" t="s">
        <v>10</v>
      </c>
      <c r="J80" s="1" t="s">
        <v>41</v>
      </c>
      <c r="K80" s="18">
        <v>0</v>
      </c>
      <c r="L80" s="18">
        <v>630</v>
      </c>
      <c r="M80" s="18">
        <v>630</v>
      </c>
      <c r="N80" s="1" t="str">
        <f>IF(Sales_Data_Analysis[[#This Row],[Profit]]&lt;=Reference_Tables!$F$7,Reference_Tables!$G$7,IF(Sales_Data_Analysis[[#This Row],[Profit]]&lt;=Reference_Tables!$F$6,Reference_Tables!$G$6,IF(Sales_Data_Analysis[[#This Row],[Profit]]&lt;=Reference_Tables!$F$5,Reference_Tables!$G$5,Reference_Tables!$G$4)))</f>
        <v>Platinum</v>
      </c>
      <c r="O80" s="26">
        <f>VLOOKUP(Sales_Data_Analysis[[#This Row],[Gross_Sales]],Table3[],2,TRUE)</f>
        <v>0.02</v>
      </c>
      <c r="P80" s="21">
        <f>EOMONTH(Sales_Data_Analysis[[#This Row],[Order_Date]],1)</f>
        <v>43585</v>
      </c>
      <c r="Q80" s="1">
        <f>NETWORKDAYS(Sales_Data_Analysis[[#This Row],[Order_Date]],Sales_Data_Analysis[[#This Row],[Delivery_Date]])</f>
        <v>-260</v>
      </c>
    </row>
    <row r="81" spans="1:17" x14ac:dyDescent="0.25">
      <c r="A81" s="1" t="s">
        <v>120</v>
      </c>
      <c r="B81" s="1" t="s">
        <v>121</v>
      </c>
      <c r="C81" s="1">
        <f>MONTH(Sales_Data_Analysis[[#This Row],[Order_Date]])</f>
        <v>12</v>
      </c>
      <c r="D81" s="1">
        <f>YEAR(Sales_Data_Analysis[[#This Row],[Order_Date]])</f>
        <v>2018</v>
      </c>
      <c r="E81" s="2">
        <v>43184</v>
      </c>
      <c r="F81" s="1" t="s">
        <v>63</v>
      </c>
      <c r="G81" s="1" t="s">
        <v>318</v>
      </c>
      <c r="H81" s="1" t="s">
        <v>306</v>
      </c>
      <c r="I81" s="2" t="s">
        <v>33</v>
      </c>
      <c r="J81" s="1" t="s">
        <v>54</v>
      </c>
      <c r="K81" s="18">
        <v>0</v>
      </c>
      <c r="L81" s="18">
        <v>630</v>
      </c>
      <c r="M81" s="18">
        <v>630</v>
      </c>
      <c r="N81" s="1" t="str">
        <f>IF(Sales_Data_Analysis[[#This Row],[Profit]]&lt;=Reference_Tables!$F$7,Reference_Tables!$G$7,IF(Sales_Data_Analysis[[#This Row],[Profit]]&lt;=Reference_Tables!$F$6,Reference_Tables!$G$6,IF(Sales_Data_Analysis[[#This Row],[Profit]]&lt;=Reference_Tables!$F$5,Reference_Tables!$G$5,Reference_Tables!$G$4)))</f>
        <v>Platinum</v>
      </c>
      <c r="O81" s="26">
        <f>VLOOKUP(Sales_Data_Analysis[[#This Row],[Gross_Sales]],Table3[],2,TRUE)</f>
        <v>0.02</v>
      </c>
      <c r="P81" s="21">
        <f>EOMONTH(Sales_Data_Analysis[[#This Row],[Order_Date]],1)</f>
        <v>43496</v>
      </c>
      <c r="Q81" s="1">
        <f>NETWORKDAYS(Sales_Data_Analysis[[#This Row],[Order_Date]],Sales_Data_Analysis[[#This Row],[Delivery_Date]])</f>
        <v>-195</v>
      </c>
    </row>
    <row r="82" spans="1:17" x14ac:dyDescent="0.25">
      <c r="A82" s="1" t="s">
        <v>125</v>
      </c>
      <c r="B82" s="1" t="s">
        <v>126</v>
      </c>
      <c r="C82" s="1">
        <f>MONTH(Sales_Data_Analysis[[#This Row],[Order_Date]])</f>
        <v>8</v>
      </c>
      <c r="D82" s="1">
        <f>YEAR(Sales_Data_Analysis[[#This Row],[Order_Date]])</f>
        <v>2019</v>
      </c>
      <c r="E82" s="2">
        <v>43185</v>
      </c>
      <c r="F82" s="1" t="s">
        <v>44</v>
      </c>
      <c r="G82" s="1" t="s">
        <v>315</v>
      </c>
      <c r="H82" s="1" t="s">
        <v>305</v>
      </c>
      <c r="I82" s="2" t="s">
        <v>37</v>
      </c>
      <c r="J82" s="1" t="s">
        <v>38</v>
      </c>
      <c r="K82" s="18">
        <v>0</v>
      </c>
      <c r="L82" s="18">
        <v>514</v>
      </c>
      <c r="M82" s="18">
        <v>514</v>
      </c>
      <c r="N82" s="1" t="str">
        <f>IF(Sales_Data_Analysis[[#This Row],[Profit]]&lt;=Reference_Tables!$F$7,Reference_Tables!$G$7,IF(Sales_Data_Analysis[[#This Row],[Profit]]&lt;=Reference_Tables!$F$6,Reference_Tables!$G$6,IF(Sales_Data_Analysis[[#This Row],[Profit]]&lt;=Reference_Tables!$F$5,Reference_Tables!$G$5,Reference_Tables!$G$4)))</f>
        <v>Gold</v>
      </c>
      <c r="O82" s="26">
        <f>VLOOKUP(Sales_Data_Analysis[[#This Row],[Gross_Sales]],Table3[],2,TRUE)</f>
        <v>0.02</v>
      </c>
      <c r="P82" s="21">
        <f>EOMONTH(Sales_Data_Analysis[[#This Row],[Order_Date]],1)</f>
        <v>43738</v>
      </c>
      <c r="Q82" s="1">
        <f>NETWORKDAYS(Sales_Data_Analysis[[#This Row],[Order_Date]],Sales_Data_Analysis[[#This Row],[Delivery_Date]])</f>
        <v>-365</v>
      </c>
    </row>
    <row r="83" spans="1:17" x14ac:dyDescent="0.25">
      <c r="A83" s="1" t="s">
        <v>127</v>
      </c>
      <c r="B83" s="1" t="s">
        <v>128</v>
      </c>
      <c r="C83" s="1">
        <f>MONTH(Sales_Data_Analysis[[#This Row],[Order_Date]])</f>
        <v>2</v>
      </c>
      <c r="D83" s="1">
        <f>YEAR(Sales_Data_Analysis[[#This Row],[Order_Date]])</f>
        <v>2018</v>
      </c>
      <c r="E83" s="2">
        <v>43186</v>
      </c>
      <c r="F83" s="1" t="s">
        <v>50</v>
      </c>
      <c r="G83" s="1" t="s">
        <v>319</v>
      </c>
      <c r="H83" s="1" t="s">
        <v>304</v>
      </c>
      <c r="I83" s="2" t="s">
        <v>33</v>
      </c>
      <c r="J83" s="1" t="s">
        <v>97</v>
      </c>
      <c r="K83" s="18">
        <v>0</v>
      </c>
      <c r="L83" s="18">
        <v>321</v>
      </c>
      <c r="M83" s="18">
        <v>321</v>
      </c>
      <c r="N83" s="1" t="str">
        <f>IF(Sales_Data_Analysis[[#This Row],[Profit]]&lt;=Reference_Tables!$F$7,Reference_Tables!$G$7,IF(Sales_Data_Analysis[[#This Row],[Profit]]&lt;=Reference_Tables!$F$6,Reference_Tables!$G$6,IF(Sales_Data_Analysis[[#This Row],[Profit]]&lt;=Reference_Tables!$F$5,Reference_Tables!$G$5,Reference_Tables!$G$4)))</f>
        <v>Gold</v>
      </c>
      <c r="O83" s="26">
        <f>VLOOKUP(Sales_Data_Analysis[[#This Row],[Gross_Sales]],Table3[],2,TRUE)</f>
        <v>0</v>
      </c>
      <c r="P83" s="21">
        <f>EOMONTH(Sales_Data_Analysis[[#This Row],[Order_Date]],1)</f>
        <v>43190</v>
      </c>
      <c r="Q83" s="1">
        <f>NETWORKDAYS(Sales_Data_Analysis[[#This Row],[Order_Date]],Sales_Data_Analysis[[#This Row],[Delivery_Date]])</f>
        <v>30</v>
      </c>
    </row>
    <row r="84" spans="1:17" x14ac:dyDescent="0.25">
      <c r="A84" s="1" t="s">
        <v>135</v>
      </c>
      <c r="B84" s="1" t="s">
        <v>136</v>
      </c>
      <c r="C84" s="1">
        <f>MONTH(Sales_Data_Analysis[[#This Row],[Order_Date]])</f>
        <v>9</v>
      </c>
      <c r="D84" s="1">
        <f>YEAR(Sales_Data_Analysis[[#This Row],[Order_Date]])</f>
        <v>2019</v>
      </c>
      <c r="E84" s="2">
        <v>43187</v>
      </c>
      <c r="F84" s="1" t="s">
        <v>14</v>
      </c>
      <c r="G84" s="1" t="s">
        <v>310</v>
      </c>
      <c r="H84" s="1" t="s">
        <v>304</v>
      </c>
      <c r="I84" s="2" t="s">
        <v>15</v>
      </c>
      <c r="J84" s="1" t="s">
        <v>16</v>
      </c>
      <c r="K84" s="18">
        <v>0</v>
      </c>
      <c r="L84" s="18">
        <v>480</v>
      </c>
      <c r="M84" s="18">
        <v>480</v>
      </c>
      <c r="N84" s="1" t="str">
        <f>IF(Sales_Data_Analysis[[#This Row],[Profit]]&lt;=Reference_Tables!$F$7,Reference_Tables!$G$7,IF(Sales_Data_Analysis[[#This Row],[Profit]]&lt;=Reference_Tables!$F$6,Reference_Tables!$G$6,IF(Sales_Data_Analysis[[#This Row],[Profit]]&lt;=Reference_Tables!$F$5,Reference_Tables!$G$5,Reference_Tables!$G$4)))</f>
        <v>Gold</v>
      </c>
      <c r="O84" s="26">
        <f>VLOOKUP(Sales_Data_Analysis[[#This Row],[Gross_Sales]],Table3[],2,TRUE)</f>
        <v>0</v>
      </c>
      <c r="P84" s="21">
        <f>EOMONTH(Sales_Data_Analysis[[#This Row],[Order_Date]],1)</f>
        <v>43769</v>
      </c>
      <c r="Q84" s="1">
        <f>NETWORKDAYS(Sales_Data_Analysis[[#This Row],[Order_Date]],Sales_Data_Analysis[[#This Row],[Delivery_Date]])</f>
        <v>-378</v>
      </c>
    </row>
    <row r="85" spans="1:17" x14ac:dyDescent="0.25">
      <c r="A85" s="1" t="s">
        <v>137</v>
      </c>
      <c r="B85" s="1" t="s">
        <v>138</v>
      </c>
      <c r="C85" s="1">
        <f>MONTH(Sales_Data_Analysis[[#This Row],[Order_Date]])</f>
        <v>3</v>
      </c>
      <c r="D85" s="1">
        <f>YEAR(Sales_Data_Analysis[[#This Row],[Order_Date]])</f>
        <v>2018</v>
      </c>
      <c r="E85" s="2">
        <v>43188</v>
      </c>
      <c r="F85" s="1" t="s">
        <v>14</v>
      </c>
      <c r="G85" s="1" t="s">
        <v>310</v>
      </c>
      <c r="H85" s="1" t="s">
        <v>304</v>
      </c>
      <c r="I85" s="2" t="s">
        <v>15</v>
      </c>
      <c r="J85" s="1" t="s">
        <v>64</v>
      </c>
      <c r="K85" s="18">
        <v>0</v>
      </c>
      <c r="L85" s="18">
        <v>192</v>
      </c>
      <c r="M85" s="18">
        <v>192</v>
      </c>
      <c r="N85" s="1" t="str">
        <f>IF(Sales_Data_Analysis[[#This Row],[Profit]]&lt;=Reference_Tables!$F$7,Reference_Tables!$G$7,IF(Sales_Data_Analysis[[#This Row],[Profit]]&lt;=Reference_Tables!$F$6,Reference_Tables!$G$6,IF(Sales_Data_Analysis[[#This Row],[Profit]]&lt;=Reference_Tables!$F$5,Reference_Tables!$G$5,Reference_Tables!$G$4)))</f>
        <v>Silver</v>
      </c>
      <c r="O85" s="26">
        <f>VLOOKUP(Sales_Data_Analysis[[#This Row],[Gross_Sales]],Table3[],2,TRUE)</f>
        <v>0</v>
      </c>
      <c r="P85" s="21">
        <f>EOMONTH(Sales_Data_Analysis[[#This Row],[Order_Date]],1)</f>
        <v>43220</v>
      </c>
      <c r="Q85" s="1">
        <f>NETWORKDAYS(Sales_Data_Analysis[[#This Row],[Order_Date]],Sales_Data_Analysis[[#This Row],[Delivery_Date]])</f>
        <v>14</v>
      </c>
    </row>
    <row r="86" spans="1:17" x14ac:dyDescent="0.25">
      <c r="A86" s="1" t="s">
        <v>139</v>
      </c>
      <c r="B86" s="1" t="s">
        <v>140</v>
      </c>
      <c r="C86" s="1">
        <f>MONTH(Sales_Data_Analysis[[#This Row],[Order_Date]])</f>
        <v>11</v>
      </c>
      <c r="D86" s="1">
        <f>YEAR(Sales_Data_Analysis[[#This Row],[Order_Date]])</f>
        <v>2018</v>
      </c>
      <c r="E86" s="2">
        <v>43189</v>
      </c>
      <c r="F86" s="1" t="s">
        <v>19</v>
      </c>
      <c r="G86" s="1" t="s">
        <v>316</v>
      </c>
      <c r="H86" s="1" t="s">
        <v>306</v>
      </c>
      <c r="I86" s="2" t="s">
        <v>37</v>
      </c>
      <c r="J86" s="1" t="s">
        <v>38</v>
      </c>
      <c r="K86" s="18">
        <v>0</v>
      </c>
      <c r="L86" s="18">
        <v>703</v>
      </c>
      <c r="M86" s="18">
        <v>703</v>
      </c>
      <c r="N86" s="1" t="str">
        <f>IF(Sales_Data_Analysis[[#This Row],[Profit]]&lt;=Reference_Tables!$F$7,Reference_Tables!$G$7,IF(Sales_Data_Analysis[[#This Row],[Profit]]&lt;=Reference_Tables!$F$6,Reference_Tables!$G$6,IF(Sales_Data_Analysis[[#This Row],[Profit]]&lt;=Reference_Tables!$F$5,Reference_Tables!$G$5,Reference_Tables!$G$4)))</f>
        <v>Platinum</v>
      </c>
      <c r="O86" s="26">
        <f>VLOOKUP(Sales_Data_Analysis[[#This Row],[Gross_Sales]],Table3[],2,TRUE)</f>
        <v>0.02</v>
      </c>
      <c r="P86" s="21">
        <f>EOMONTH(Sales_Data_Analysis[[#This Row],[Order_Date]],1)</f>
        <v>43465</v>
      </c>
      <c r="Q86" s="1">
        <f>NETWORKDAYS(Sales_Data_Analysis[[#This Row],[Order_Date]],Sales_Data_Analysis[[#This Row],[Delivery_Date]])</f>
        <v>-156</v>
      </c>
    </row>
    <row r="87" spans="1:17" x14ac:dyDescent="0.25">
      <c r="A87" s="1" t="s">
        <v>145</v>
      </c>
      <c r="B87" s="1" t="s">
        <v>146</v>
      </c>
      <c r="C87" s="1">
        <f>MONTH(Sales_Data_Analysis[[#This Row],[Order_Date]])</f>
        <v>3</v>
      </c>
      <c r="D87" s="1">
        <f>YEAR(Sales_Data_Analysis[[#This Row],[Order_Date]])</f>
        <v>2019</v>
      </c>
      <c r="E87" s="2">
        <v>43190</v>
      </c>
      <c r="F87" s="1" t="s">
        <v>14</v>
      </c>
      <c r="G87" s="1" t="s">
        <v>310</v>
      </c>
      <c r="H87" s="1" t="s">
        <v>304</v>
      </c>
      <c r="I87" s="2" t="s">
        <v>10</v>
      </c>
      <c r="J87" s="1" t="s">
        <v>11</v>
      </c>
      <c r="K87" s="18">
        <v>0</v>
      </c>
      <c r="L87" s="18">
        <v>771</v>
      </c>
      <c r="M87" s="18">
        <v>771</v>
      </c>
      <c r="N87" s="1" t="str">
        <f>IF(Sales_Data_Analysis[[#This Row],[Profit]]&lt;=Reference_Tables!$F$7,Reference_Tables!$G$7,IF(Sales_Data_Analysis[[#This Row],[Profit]]&lt;=Reference_Tables!$F$6,Reference_Tables!$G$6,IF(Sales_Data_Analysis[[#This Row],[Profit]]&lt;=Reference_Tables!$F$5,Reference_Tables!$G$5,Reference_Tables!$G$4)))</f>
        <v>Platinum</v>
      </c>
      <c r="O87" s="26">
        <f>VLOOKUP(Sales_Data_Analysis[[#This Row],[Gross_Sales]],Table3[],2,TRUE)</f>
        <v>0.02</v>
      </c>
      <c r="P87" s="21">
        <f>EOMONTH(Sales_Data_Analysis[[#This Row],[Order_Date]],1)</f>
        <v>43585</v>
      </c>
      <c r="Q87" s="1">
        <f>NETWORKDAYS(Sales_Data_Analysis[[#This Row],[Order_Date]],Sales_Data_Analysis[[#This Row],[Delivery_Date]])</f>
        <v>-259</v>
      </c>
    </row>
    <row r="88" spans="1:17" x14ac:dyDescent="0.25">
      <c r="A88" s="1" t="s">
        <v>151</v>
      </c>
      <c r="B88" s="1" t="s">
        <v>148</v>
      </c>
      <c r="C88" s="1">
        <f>MONTH(Sales_Data_Analysis[[#This Row],[Order_Date]])</f>
        <v>4</v>
      </c>
      <c r="D88" s="1">
        <f>YEAR(Sales_Data_Analysis[[#This Row],[Order_Date]])</f>
        <v>2018</v>
      </c>
      <c r="E88" s="2">
        <v>43191</v>
      </c>
      <c r="F88" s="1" t="s">
        <v>14</v>
      </c>
      <c r="G88" s="1" t="s">
        <v>310</v>
      </c>
      <c r="H88" s="1" t="s">
        <v>304</v>
      </c>
      <c r="I88" s="2" t="s">
        <v>37</v>
      </c>
      <c r="J88" s="1" t="s">
        <v>94</v>
      </c>
      <c r="K88" s="18">
        <v>0</v>
      </c>
      <c r="L88" s="18">
        <v>221</v>
      </c>
      <c r="M88" s="18">
        <v>221</v>
      </c>
      <c r="N88" s="1" t="str">
        <f>IF(Sales_Data_Analysis[[#This Row],[Profit]]&lt;=Reference_Tables!$F$7,Reference_Tables!$G$7,IF(Sales_Data_Analysis[[#This Row],[Profit]]&lt;=Reference_Tables!$F$6,Reference_Tables!$G$6,IF(Sales_Data_Analysis[[#This Row],[Profit]]&lt;=Reference_Tables!$F$5,Reference_Tables!$G$5,Reference_Tables!$G$4)))</f>
        <v>Silver</v>
      </c>
      <c r="O88" s="26">
        <f>VLOOKUP(Sales_Data_Analysis[[#This Row],[Gross_Sales]],Table3[],2,TRUE)</f>
        <v>0</v>
      </c>
      <c r="P88" s="21">
        <f>EOMONTH(Sales_Data_Analysis[[#This Row],[Order_Date]],1)</f>
        <v>43251</v>
      </c>
      <c r="Q88" s="1">
        <f>NETWORKDAYS(Sales_Data_Analysis[[#This Row],[Order_Date]],Sales_Data_Analysis[[#This Row],[Delivery_Date]])</f>
        <v>-20</v>
      </c>
    </row>
    <row r="89" spans="1:17" x14ac:dyDescent="0.25">
      <c r="A89" s="1" t="s">
        <v>156</v>
      </c>
      <c r="B89" s="1" t="s">
        <v>157</v>
      </c>
      <c r="C89" s="1">
        <f>MONTH(Sales_Data_Analysis[[#This Row],[Order_Date]])</f>
        <v>3</v>
      </c>
      <c r="D89" s="1">
        <f>YEAR(Sales_Data_Analysis[[#This Row],[Order_Date]])</f>
        <v>2019</v>
      </c>
      <c r="E89" s="2">
        <v>43192</v>
      </c>
      <c r="F89" s="1" t="s">
        <v>14</v>
      </c>
      <c r="G89" s="1" t="s">
        <v>310</v>
      </c>
      <c r="H89" s="1" t="s">
        <v>304</v>
      </c>
      <c r="I89" s="2" t="s">
        <v>15</v>
      </c>
      <c r="J89" s="1" t="s">
        <v>64</v>
      </c>
      <c r="K89" s="18">
        <v>0</v>
      </c>
      <c r="L89" s="18">
        <v>186</v>
      </c>
      <c r="M89" s="18">
        <v>186</v>
      </c>
      <c r="N89" s="1" t="str">
        <f>IF(Sales_Data_Analysis[[#This Row],[Profit]]&lt;=Reference_Tables!$F$7,Reference_Tables!$G$7,IF(Sales_Data_Analysis[[#This Row],[Profit]]&lt;=Reference_Tables!$F$6,Reference_Tables!$G$6,IF(Sales_Data_Analysis[[#This Row],[Profit]]&lt;=Reference_Tables!$F$5,Reference_Tables!$G$5,Reference_Tables!$G$4)))</f>
        <v>Silver</v>
      </c>
      <c r="O89" s="26">
        <f>VLOOKUP(Sales_Data_Analysis[[#This Row],[Gross_Sales]],Table3[],2,TRUE)</f>
        <v>0</v>
      </c>
      <c r="P89" s="21">
        <f>EOMONTH(Sales_Data_Analysis[[#This Row],[Order_Date]],1)</f>
        <v>43585</v>
      </c>
      <c r="Q89" s="1">
        <f>NETWORKDAYS(Sales_Data_Analysis[[#This Row],[Order_Date]],Sales_Data_Analysis[[#This Row],[Delivery_Date]])</f>
        <v>-245</v>
      </c>
    </row>
    <row r="90" spans="1:17" x14ac:dyDescent="0.25">
      <c r="A90" s="1" t="s">
        <v>164</v>
      </c>
      <c r="B90" s="1" t="s">
        <v>165</v>
      </c>
      <c r="C90" s="1">
        <f>MONTH(Sales_Data_Analysis[[#This Row],[Order_Date]])</f>
        <v>6</v>
      </c>
      <c r="D90" s="1">
        <f>YEAR(Sales_Data_Analysis[[#This Row],[Order_Date]])</f>
        <v>2019</v>
      </c>
      <c r="E90" s="2">
        <v>43193</v>
      </c>
      <c r="F90" s="1" t="s">
        <v>63</v>
      </c>
      <c r="G90" s="1" t="s">
        <v>318</v>
      </c>
      <c r="H90" s="1" t="s">
        <v>306</v>
      </c>
      <c r="I90" s="2" t="s">
        <v>20</v>
      </c>
      <c r="J90" s="1" t="s">
        <v>29</v>
      </c>
      <c r="K90" s="18">
        <v>0</v>
      </c>
      <c r="L90" s="18">
        <v>1127</v>
      </c>
      <c r="M90" s="18">
        <v>1127</v>
      </c>
      <c r="N90" s="1" t="str">
        <f>IF(Sales_Data_Analysis[[#This Row],[Profit]]&lt;=Reference_Tables!$F$7,Reference_Tables!$G$7,IF(Sales_Data_Analysis[[#This Row],[Profit]]&lt;=Reference_Tables!$F$6,Reference_Tables!$G$6,IF(Sales_Data_Analysis[[#This Row],[Profit]]&lt;=Reference_Tables!$F$5,Reference_Tables!$G$5,Reference_Tables!$G$4)))</f>
        <v>Diamond</v>
      </c>
      <c r="O90" s="26">
        <f>VLOOKUP(Sales_Data_Analysis[[#This Row],[Gross_Sales]],Table3[],2,TRUE)</f>
        <v>0.05</v>
      </c>
      <c r="P90" s="21">
        <f>EOMONTH(Sales_Data_Analysis[[#This Row],[Order_Date]],1)</f>
        <v>43677</v>
      </c>
      <c r="Q90" s="1">
        <f>NETWORKDAYS(Sales_Data_Analysis[[#This Row],[Order_Date]],Sales_Data_Analysis[[#This Row],[Delivery_Date]])</f>
        <v>-322</v>
      </c>
    </row>
    <row r="91" spans="1:17" x14ac:dyDescent="0.25">
      <c r="A91" s="1" t="s">
        <v>167</v>
      </c>
      <c r="B91" s="1" t="s">
        <v>168</v>
      </c>
      <c r="C91" s="1">
        <f>MONTH(Sales_Data_Analysis[[#This Row],[Order_Date]])</f>
        <v>3</v>
      </c>
      <c r="D91" s="1">
        <f>YEAR(Sales_Data_Analysis[[#This Row],[Order_Date]])</f>
        <v>2019</v>
      </c>
      <c r="E91" s="2">
        <v>43194</v>
      </c>
      <c r="F91" s="1" t="s">
        <v>50</v>
      </c>
      <c r="G91" s="1" t="s">
        <v>319</v>
      </c>
      <c r="H91" s="1" t="s">
        <v>304</v>
      </c>
      <c r="I91" s="2" t="s">
        <v>37</v>
      </c>
      <c r="J91" s="1" t="s">
        <v>94</v>
      </c>
      <c r="K91" s="18">
        <v>0</v>
      </c>
      <c r="L91" s="18">
        <v>544</v>
      </c>
      <c r="M91" s="18">
        <v>544</v>
      </c>
      <c r="N91" s="1" t="str">
        <f>IF(Sales_Data_Analysis[[#This Row],[Profit]]&lt;=Reference_Tables!$F$7,Reference_Tables!$G$7,IF(Sales_Data_Analysis[[#This Row],[Profit]]&lt;=Reference_Tables!$F$6,Reference_Tables!$G$6,IF(Sales_Data_Analysis[[#This Row],[Profit]]&lt;=Reference_Tables!$F$5,Reference_Tables!$G$5,Reference_Tables!$G$4)))</f>
        <v>Gold</v>
      </c>
      <c r="O91" s="26">
        <f>VLOOKUP(Sales_Data_Analysis[[#This Row],[Gross_Sales]],Table3[],2,TRUE)</f>
        <v>0.02</v>
      </c>
      <c r="P91" s="21">
        <f>EOMONTH(Sales_Data_Analysis[[#This Row],[Order_Date]],1)</f>
        <v>43585</v>
      </c>
      <c r="Q91" s="1">
        <f>NETWORKDAYS(Sales_Data_Analysis[[#This Row],[Order_Date]],Sales_Data_Analysis[[#This Row],[Delivery_Date]])</f>
        <v>-255</v>
      </c>
    </row>
    <row r="92" spans="1:17" x14ac:dyDescent="0.25">
      <c r="A92" s="1" t="s">
        <v>169</v>
      </c>
      <c r="B92" s="1" t="s">
        <v>170</v>
      </c>
      <c r="C92" s="1">
        <f>MONTH(Sales_Data_Analysis[[#This Row],[Order_Date]])</f>
        <v>3</v>
      </c>
      <c r="D92" s="1">
        <f>YEAR(Sales_Data_Analysis[[#This Row],[Order_Date]])</f>
        <v>2018</v>
      </c>
      <c r="E92" s="2">
        <v>43195</v>
      </c>
      <c r="F92" s="1" t="s">
        <v>53</v>
      </c>
      <c r="G92" s="1" t="s">
        <v>313</v>
      </c>
      <c r="H92" s="1" t="s">
        <v>304</v>
      </c>
      <c r="I92" s="2" t="s">
        <v>10</v>
      </c>
      <c r="J92" s="1" t="s">
        <v>25</v>
      </c>
      <c r="K92" s="18">
        <v>0</v>
      </c>
      <c r="L92" s="18">
        <v>257</v>
      </c>
      <c r="M92" s="18">
        <v>257</v>
      </c>
      <c r="N92" s="1" t="str">
        <f>IF(Sales_Data_Analysis[[#This Row],[Profit]]&lt;=Reference_Tables!$F$7,Reference_Tables!$G$7,IF(Sales_Data_Analysis[[#This Row],[Profit]]&lt;=Reference_Tables!$F$6,Reference_Tables!$G$6,IF(Sales_Data_Analysis[[#This Row],[Profit]]&lt;=Reference_Tables!$F$5,Reference_Tables!$G$5,Reference_Tables!$G$4)))</f>
        <v>Silver</v>
      </c>
      <c r="O92" s="26">
        <f>VLOOKUP(Sales_Data_Analysis[[#This Row],[Gross_Sales]],Table3[],2,TRUE)</f>
        <v>0</v>
      </c>
      <c r="P92" s="21">
        <f>EOMONTH(Sales_Data_Analysis[[#This Row],[Order_Date]],1)</f>
        <v>43220</v>
      </c>
      <c r="Q92" s="1">
        <f>NETWORKDAYS(Sales_Data_Analysis[[#This Row],[Order_Date]],Sales_Data_Analysis[[#This Row],[Delivery_Date]])</f>
        <v>26</v>
      </c>
    </row>
    <row r="93" spans="1:17" x14ac:dyDescent="0.25">
      <c r="A93" s="1" t="s">
        <v>173</v>
      </c>
      <c r="B93" s="1" t="s">
        <v>174</v>
      </c>
      <c r="C93" s="1">
        <f>MONTH(Sales_Data_Analysis[[#This Row],[Order_Date]])</f>
        <v>8</v>
      </c>
      <c r="D93" s="1">
        <f>YEAR(Sales_Data_Analysis[[#This Row],[Order_Date]])</f>
        <v>2018</v>
      </c>
      <c r="E93" s="2">
        <v>43196</v>
      </c>
      <c r="F93" s="1" t="s">
        <v>28</v>
      </c>
      <c r="G93" s="1" t="s">
        <v>312</v>
      </c>
      <c r="H93" s="1" t="s">
        <v>305</v>
      </c>
      <c r="I93" s="2" t="s">
        <v>37</v>
      </c>
      <c r="J93" s="1" t="s">
        <v>38</v>
      </c>
      <c r="K93" s="18">
        <v>0</v>
      </c>
      <c r="L93" s="18">
        <v>385</v>
      </c>
      <c r="M93" s="18">
        <v>385</v>
      </c>
      <c r="N93" s="1" t="str">
        <f>IF(Sales_Data_Analysis[[#This Row],[Profit]]&lt;=Reference_Tables!$F$7,Reference_Tables!$G$7,IF(Sales_Data_Analysis[[#This Row],[Profit]]&lt;=Reference_Tables!$F$6,Reference_Tables!$G$6,IF(Sales_Data_Analysis[[#This Row],[Profit]]&lt;=Reference_Tables!$F$5,Reference_Tables!$G$5,Reference_Tables!$G$4)))</f>
        <v>Gold</v>
      </c>
      <c r="O93" s="26">
        <f>VLOOKUP(Sales_Data_Analysis[[#This Row],[Gross_Sales]],Table3[],2,TRUE)</f>
        <v>0</v>
      </c>
      <c r="P93" s="21">
        <f>EOMONTH(Sales_Data_Analysis[[#This Row],[Order_Date]],1)</f>
        <v>43373</v>
      </c>
      <c r="Q93" s="1">
        <f>NETWORKDAYS(Sales_Data_Analysis[[#This Row],[Order_Date]],Sales_Data_Analysis[[#This Row],[Delivery_Date]])</f>
        <v>-103</v>
      </c>
    </row>
    <row r="94" spans="1:17" x14ac:dyDescent="0.25">
      <c r="A94" s="1" t="s">
        <v>177</v>
      </c>
      <c r="B94" s="1" t="s">
        <v>89</v>
      </c>
      <c r="C94" s="1">
        <f>MONTH(Sales_Data_Analysis[[#This Row],[Order_Date]])</f>
        <v>3</v>
      </c>
      <c r="D94" s="1">
        <f>YEAR(Sales_Data_Analysis[[#This Row],[Order_Date]])</f>
        <v>2019</v>
      </c>
      <c r="E94" s="2">
        <v>43197</v>
      </c>
      <c r="F94" s="1" t="s">
        <v>24</v>
      </c>
      <c r="G94" s="1" t="s">
        <v>311</v>
      </c>
      <c r="H94" s="1" t="s">
        <v>304</v>
      </c>
      <c r="I94" s="2" t="s">
        <v>20</v>
      </c>
      <c r="J94" s="1" t="s">
        <v>29</v>
      </c>
      <c r="K94" s="18">
        <v>0</v>
      </c>
      <c r="L94" s="18">
        <v>1289</v>
      </c>
      <c r="M94" s="18">
        <v>1289</v>
      </c>
      <c r="N94" s="1" t="str">
        <f>IF(Sales_Data_Analysis[[#This Row],[Profit]]&lt;=Reference_Tables!$F$7,Reference_Tables!$G$7,IF(Sales_Data_Analysis[[#This Row],[Profit]]&lt;=Reference_Tables!$F$6,Reference_Tables!$G$6,IF(Sales_Data_Analysis[[#This Row],[Profit]]&lt;=Reference_Tables!$F$5,Reference_Tables!$G$5,Reference_Tables!$G$4)))</f>
        <v>Diamond</v>
      </c>
      <c r="O94" s="26">
        <f>VLOOKUP(Sales_Data_Analysis[[#This Row],[Gross_Sales]],Table3[],2,TRUE)</f>
        <v>0.05</v>
      </c>
      <c r="P94" s="21">
        <f>EOMONTH(Sales_Data_Analysis[[#This Row],[Order_Date]],1)</f>
        <v>43585</v>
      </c>
      <c r="Q94" s="1">
        <f>NETWORKDAYS(Sales_Data_Analysis[[#This Row],[Order_Date]],Sales_Data_Analysis[[#This Row],[Delivery_Date]])</f>
        <v>-240</v>
      </c>
    </row>
    <row r="95" spans="1:17" x14ac:dyDescent="0.25">
      <c r="A95" s="1" t="s">
        <v>181</v>
      </c>
      <c r="B95" s="1" t="s">
        <v>182</v>
      </c>
      <c r="C95" s="1">
        <f>MONTH(Sales_Data_Analysis[[#This Row],[Order_Date]])</f>
        <v>8</v>
      </c>
      <c r="D95" s="1">
        <f>YEAR(Sales_Data_Analysis[[#This Row],[Order_Date]])</f>
        <v>2019</v>
      </c>
      <c r="E95" s="2">
        <v>43198</v>
      </c>
      <c r="F95" s="1" t="s">
        <v>50</v>
      </c>
      <c r="G95" s="1" t="s">
        <v>319</v>
      </c>
      <c r="H95" s="1" t="s">
        <v>304</v>
      </c>
      <c r="I95" s="2" t="s">
        <v>37</v>
      </c>
      <c r="J95" s="1" t="s">
        <v>38</v>
      </c>
      <c r="K95" s="18">
        <v>0</v>
      </c>
      <c r="L95" s="18">
        <v>782</v>
      </c>
      <c r="M95" s="18">
        <v>782</v>
      </c>
      <c r="N95" s="1" t="str">
        <f>IF(Sales_Data_Analysis[[#This Row],[Profit]]&lt;=Reference_Tables!$F$7,Reference_Tables!$G$7,IF(Sales_Data_Analysis[[#This Row],[Profit]]&lt;=Reference_Tables!$F$6,Reference_Tables!$G$6,IF(Sales_Data_Analysis[[#This Row],[Profit]]&lt;=Reference_Tables!$F$5,Reference_Tables!$G$5,Reference_Tables!$G$4)))</f>
        <v>Platinum</v>
      </c>
      <c r="O95" s="26">
        <f>VLOOKUP(Sales_Data_Analysis[[#This Row],[Gross_Sales]],Table3[],2,TRUE)</f>
        <v>0.02</v>
      </c>
      <c r="P95" s="21">
        <f>EOMONTH(Sales_Data_Analysis[[#This Row],[Order_Date]],1)</f>
        <v>43738</v>
      </c>
      <c r="Q95" s="1">
        <f>NETWORKDAYS(Sales_Data_Analysis[[#This Row],[Order_Date]],Sales_Data_Analysis[[#This Row],[Delivery_Date]])</f>
        <v>-359</v>
      </c>
    </row>
    <row r="96" spans="1:17" x14ac:dyDescent="0.25">
      <c r="A96" s="1" t="s">
        <v>183</v>
      </c>
      <c r="B96" s="1" t="s">
        <v>184</v>
      </c>
      <c r="C96" s="1">
        <f>MONTH(Sales_Data_Analysis[[#This Row],[Order_Date]])</f>
        <v>4</v>
      </c>
      <c r="D96" s="1">
        <f>YEAR(Sales_Data_Analysis[[#This Row],[Order_Date]])</f>
        <v>2018</v>
      </c>
      <c r="E96" s="2">
        <v>43199</v>
      </c>
      <c r="F96" s="1" t="s">
        <v>9</v>
      </c>
      <c r="G96" s="1" t="s">
        <v>314</v>
      </c>
      <c r="H96" s="1" t="s">
        <v>306</v>
      </c>
      <c r="I96" s="2" t="s">
        <v>37</v>
      </c>
      <c r="J96" s="1" t="s">
        <v>94</v>
      </c>
      <c r="K96" s="18">
        <v>0</v>
      </c>
      <c r="L96" s="18">
        <v>655</v>
      </c>
      <c r="M96" s="18">
        <v>655</v>
      </c>
      <c r="N96" s="1" t="str">
        <f>IF(Sales_Data_Analysis[[#This Row],[Profit]]&lt;=Reference_Tables!$F$7,Reference_Tables!$G$7,IF(Sales_Data_Analysis[[#This Row],[Profit]]&lt;=Reference_Tables!$F$6,Reference_Tables!$G$6,IF(Sales_Data_Analysis[[#This Row],[Profit]]&lt;=Reference_Tables!$F$5,Reference_Tables!$G$5,Reference_Tables!$G$4)))</f>
        <v>Platinum</v>
      </c>
      <c r="O96" s="26">
        <f>VLOOKUP(Sales_Data_Analysis[[#This Row],[Gross_Sales]],Table3[],2,TRUE)</f>
        <v>0.02</v>
      </c>
      <c r="P96" s="21">
        <f>EOMONTH(Sales_Data_Analysis[[#This Row],[Order_Date]],1)</f>
        <v>43251</v>
      </c>
      <c r="Q96" s="1">
        <f>NETWORKDAYS(Sales_Data_Analysis[[#This Row],[Order_Date]],Sales_Data_Analysis[[#This Row],[Delivery_Date]])</f>
        <v>-3</v>
      </c>
    </row>
    <row r="97" spans="1:17" x14ac:dyDescent="0.25">
      <c r="A97" s="1" t="s">
        <v>185</v>
      </c>
      <c r="B97" s="1" t="s">
        <v>186</v>
      </c>
      <c r="C97" s="1">
        <f>MONTH(Sales_Data_Analysis[[#This Row],[Order_Date]])</f>
        <v>9</v>
      </c>
      <c r="D97" s="1">
        <f>YEAR(Sales_Data_Analysis[[#This Row],[Order_Date]])</f>
        <v>2018</v>
      </c>
      <c r="E97" s="2">
        <v>43200</v>
      </c>
      <c r="F97" s="1" t="s">
        <v>63</v>
      </c>
      <c r="G97" s="1" t="s">
        <v>318</v>
      </c>
      <c r="H97" s="1" t="s">
        <v>306</v>
      </c>
      <c r="I97" s="2" t="s">
        <v>10</v>
      </c>
      <c r="J97" s="1" t="s">
        <v>25</v>
      </c>
      <c r="K97" s="18">
        <v>0</v>
      </c>
      <c r="L97" s="18">
        <v>504</v>
      </c>
      <c r="M97" s="18">
        <v>504</v>
      </c>
      <c r="N97" s="1" t="str">
        <f>IF(Sales_Data_Analysis[[#This Row],[Profit]]&lt;=Reference_Tables!$F$7,Reference_Tables!$G$7,IF(Sales_Data_Analysis[[#This Row],[Profit]]&lt;=Reference_Tables!$F$6,Reference_Tables!$G$6,IF(Sales_Data_Analysis[[#This Row],[Profit]]&lt;=Reference_Tables!$F$5,Reference_Tables!$G$5,Reference_Tables!$G$4)))</f>
        <v>Gold</v>
      </c>
      <c r="O97" s="26">
        <f>VLOOKUP(Sales_Data_Analysis[[#This Row],[Gross_Sales]],Table3[],2,TRUE)</f>
        <v>0.02</v>
      </c>
      <c r="P97" s="21">
        <f>EOMONTH(Sales_Data_Analysis[[#This Row],[Order_Date]],1)</f>
        <v>43404</v>
      </c>
      <c r="Q97" s="1">
        <f>NETWORKDAYS(Sales_Data_Analysis[[#This Row],[Order_Date]],Sales_Data_Analysis[[#This Row],[Delivery_Date]])</f>
        <v>-112</v>
      </c>
    </row>
    <row r="98" spans="1:17" x14ac:dyDescent="0.25">
      <c r="A98" s="1" t="s">
        <v>189</v>
      </c>
      <c r="B98" s="1" t="s">
        <v>190</v>
      </c>
      <c r="C98" s="1">
        <f>MONTH(Sales_Data_Analysis[[#This Row],[Order_Date]])</f>
        <v>10</v>
      </c>
      <c r="D98" s="1">
        <f>YEAR(Sales_Data_Analysis[[#This Row],[Order_Date]])</f>
        <v>2019</v>
      </c>
      <c r="E98" s="2">
        <v>43201</v>
      </c>
      <c r="F98" s="1" t="s">
        <v>44</v>
      </c>
      <c r="G98" s="1" t="s">
        <v>315</v>
      </c>
      <c r="H98" s="1" t="s">
        <v>305</v>
      </c>
      <c r="I98" s="2" t="s">
        <v>33</v>
      </c>
      <c r="J98" s="1" t="s">
        <v>54</v>
      </c>
      <c r="K98" s="18">
        <v>0</v>
      </c>
      <c r="L98" s="18">
        <v>191</v>
      </c>
      <c r="M98" s="18">
        <v>191</v>
      </c>
      <c r="N98" s="1" t="str">
        <f>IF(Sales_Data_Analysis[[#This Row],[Profit]]&lt;=Reference_Tables!$F$7,Reference_Tables!$G$7,IF(Sales_Data_Analysis[[#This Row],[Profit]]&lt;=Reference_Tables!$F$6,Reference_Tables!$G$6,IF(Sales_Data_Analysis[[#This Row],[Profit]]&lt;=Reference_Tables!$F$5,Reference_Tables!$G$5,Reference_Tables!$G$4)))</f>
        <v>Silver</v>
      </c>
      <c r="O98" s="26">
        <f>VLOOKUP(Sales_Data_Analysis[[#This Row],[Gross_Sales]],Table3[],2,TRUE)</f>
        <v>0</v>
      </c>
      <c r="P98" s="21">
        <f>EOMONTH(Sales_Data_Analysis[[#This Row],[Order_Date]],1)</f>
        <v>43799</v>
      </c>
      <c r="Q98" s="1">
        <f>NETWORKDAYS(Sales_Data_Analysis[[#This Row],[Order_Date]],Sales_Data_Analysis[[#This Row],[Delivery_Date]])</f>
        <v>-403</v>
      </c>
    </row>
    <row r="99" spans="1:17" x14ac:dyDescent="0.25">
      <c r="A99" s="1" t="s">
        <v>193</v>
      </c>
      <c r="B99" s="1" t="s">
        <v>194</v>
      </c>
      <c r="C99" s="1">
        <f>MONTH(Sales_Data_Analysis[[#This Row],[Order_Date]])</f>
        <v>7</v>
      </c>
      <c r="D99" s="1">
        <f>YEAR(Sales_Data_Analysis[[#This Row],[Order_Date]])</f>
        <v>2019</v>
      </c>
      <c r="E99" s="2">
        <v>43202</v>
      </c>
      <c r="F99" s="1" t="s">
        <v>50</v>
      </c>
      <c r="G99" s="1" t="s">
        <v>319</v>
      </c>
      <c r="H99" s="1" t="s">
        <v>304</v>
      </c>
      <c r="I99" s="2" t="s">
        <v>33</v>
      </c>
      <c r="J99" s="1" t="s">
        <v>54</v>
      </c>
      <c r="K99" s="18">
        <v>0</v>
      </c>
      <c r="L99" s="18">
        <v>673</v>
      </c>
      <c r="M99" s="18">
        <v>673</v>
      </c>
      <c r="N99" s="1" t="str">
        <f>IF(Sales_Data_Analysis[[#This Row],[Profit]]&lt;=Reference_Tables!$F$7,Reference_Tables!$G$7,IF(Sales_Data_Analysis[[#This Row],[Profit]]&lt;=Reference_Tables!$F$6,Reference_Tables!$G$6,IF(Sales_Data_Analysis[[#This Row],[Profit]]&lt;=Reference_Tables!$F$5,Reference_Tables!$G$5,Reference_Tables!$G$4)))</f>
        <v>Platinum</v>
      </c>
      <c r="O99" s="26">
        <f>VLOOKUP(Sales_Data_Analysis[[#This Row],[Gross_Sales]],Table3[],2,TRUE)</f>
        <v>0.02</v>
      </c>
      <c r="P99" s="21">
        <f>EOMONTH(Sales_Data_Analysis[[#This Row],[Order_Date]],1)</f>
        <v>43708</v>
      </c>
      <c r="Q99" s="1">
        <f>NETWORKDAYS(Sales_Data_Analysis[[#This Row],[Order_Date]],Sales_Data_Analysis[[#This Row],[Delivery_Date]])</f>
        <v>-337</v>
      </c>
    </row>
    <row r="100" spans="1:17" x14ac:dyDescent="0.25">
      <c r="A100" s="1" t="s">
        <v>197</v>
      </c>
      <c r="B100" s="1" t="s">
        <v>198</v>
      </c>
      <c r="C100" s="1">
        <f>MONTH(Sales_Data_Analysis[[#This Row],[Order_Date]])</f>
        <v>3</v>
      </c>
      <c r="D100" s="1">
        <f>YEAR(Sales_Data_Analysis[[#This Row],[Order_Date]])</f>
        <v>2018</v>
      </c>
      <c r="E100" s="2">
        <v>43203</v>
      </c>
      <c r="F100" s="1" t="s">
        <v>53</v>
      </c>
      <c r="G100" s="1" t="s">
        <v>313</v>
      </c>
      <c r="H100" s="1" t="s">
        <v>304</v>
      </c>
      <c r="I100" s="2" t="s">
        <v>10</v>
      </c>
      <c r="J100" s="1" t="s">
        <v>41</v>
      </c>
      <c r="K100" s="18">
        <v>0</v>
      </c>
      <c r="L100" s="18">
        <v>795</v>
      </c>
      <c r="M100" s="18">
        <v>795</v>
      </c>
      <c r="N100" s="1" t="str">
        <f>IF(Sales_Data_Analysis[[#This Row],[Profit]]&lt;=Reference_Tables!$F$7,Reference_Tables!$G$7,IF(Sales_Data_Analysis[[#This Row],[Profit]]&lt;=Reference_Tables!$F$6,Reference_Tables!$G$6,IF(Sales_Data_Analysis[[#This Row],[Profit]]&lt;=Reference_Tables!$F$5,Reference_Tables!$G$5,Reference_Tables!$G$4)))</f>
        <v>Platinum</v>
      </c>
      <c r="O100" s="26">
        <f>VLOOKUP(Sales_Data_Analysis[[#This Row],[Gross_Sales]],Table3[],2,TRUE)</f>
        <v>0.02</v>
      </c>
      <c r="P100" s="21">
        <f>EOMONTH(Sales_Data_Analysis[[#This Row],[Order_Date]],1)</f>
        <v>43220</v>
      </c>
      <c r="Q100" s="1">
        <f>NETWORKDAYS(Sales_Data_Analysis[[#This Row],[Order_Date]],Sales_Data_Analysis[[#This Row],[Delivery_Date]])</f>
        <v>16</v>
      </c>
    </row>
    <row r="101" spans="1:17" x14ac:dyDescent="0.25">
      <c r="A101" s="1" t="s">
        <v>199</v>
      </c>
      <c r="B101" s="1" t="s">
        <v>200</v>
      </c>
      <c r="C101" s="1">
        <f>MONTH(Sales_Data_Analysis[[#This Row],[Order_Date]])</f>
        <v>7</v>
      </c>
      <c r="D101" s="1">
        <f>YEAR(Sales_Data_Analysis[[#This Row],[Order_Date]])</f>
        <v>2019</v>
      </c>
      <c r="E101" s="2">
        <v>43204</v>
      </c>
      <c r="F101" s="1" t="s">
        <v>24</v>
      </c>
      <c r="G101" s="1" t="s">
        <v>311</v>
      </c>
      <c r="H101" s="1" t="s">
        <v>304</v>
      </c>
      <c r="I101" s="2" t="s">
        <v>20</v>
      </c>
      <c r="J101" s="1" t="s">
        <v>29</v>
      </c>
      <c r="K101" s="18">
        <v>0</v>
      </c>
      <c r="L101" s="18">
        <v>737</v>
      </c>
      <c r="M101" s="18">
        <v>737</v>
      </c>
      <c r="N101" s="1" t="str">
        <f>IF(Sales_Data_Analysis[[#This Row],[Profit]]&lt;=Reference_Tables!$F$7,Reference_Tables!$G$7,IF(Sales_Data_Analysis[[#This Row],[Profit]]&lt;=Reference_Tables!$F$6,Reference_Tables!$G$6,IF(Sales_Data_Analysis[[#This Row],[Profit]]&lt;=Reference_Tables!$F$5,Reference_Tables!$G$5,Reference_Tables!$G$4)))</f>
        <v>Platinum</v>
      </c>
      <c r="O101" s="26">
        <f>VLOOKUP(Sales_Data_Analysis[[#This Row],[Gross_Sales]],Table3[],2,TRUE)</f>
        <v>0.02</v>
      </c>
      <c r="P101" s="21">
        <f>EOMONTH(Sales_Data_Analysis[[#This Row],[Order_Date]],1)</f>
        <v>43708</v>
      </c>
      <c r="Q101" s="1">
        <f>NETWORKDAYS(Sales_Data_Analysis[[#This Row],[Order_Date]],Sales_Data_Analysis[[#This Row],[Delivery_Date]])</f>
        <v>-320</v>
      </c>
    </row>
    <row r="102" spans="1:17" x14ac:dyDescent="0.25">
      <c r="A102" s="1" t="s">
        <v>201</v>
      </c>
      <c r="B102" s="1" t="s">
        <v>184</v>
      </c>
      <c r="C102" s="1">
        <f>MONTH(Sales_Data_Analysis[[#This Row],[Order_Date]])</f>
        <v>4</v>
      </c>
      <c r="D102" s="1">
        <f>YEAR(Sales_Data_Analysis[[#This Row],[Order_Date]])</f>
        <v>2018</v>
      </c>
      <c r="E102" s="2">
        <v>43205</v>
      </c>
      <c r="F102" s="1" t="s">
        <v>44</v>
      </c>
      <c r="G102" s="1" t="s">
        <v>315</v>
      </c>
      <c r="H102" s="1" t="s">
        <v>305</v>
      </c>
      <c r="I102" s="2" t="s">
        <v>20</v>
      </c>
      <c r="J102" s="1" t="s">
        <v>67</v>
      </c>
      <c r="K102" s="18">
        <v>0</v>
      </c>
      <c r="L102" s="18">
        <v>1016</v>
      </c>
      <c r="M102" s="18">
        <v>1016</v>
      </c>
      <c r="N102" s="1" t="str">
        <f>IF(Sales_Data_Analysis[[#This Row],[Profit]]&lt;=Reference_Tables!$F$7,Reference_Tables!$G$7,IF(Sales_Data_Analysis[[#This Row],[Profit]]&lt;=Reference_Tables!$F$6,Reference_Tables!$G$6,IF(Sales_Data_Analysis[[#This Row],[Profit]]&lt;=Reference_Tables!$F$5,Reference_Tables!$G$5,Reference_Tables!$G$4)))</f>
        <v>Diamond</v>
      </c>
      <c r="O102" s="26">
        <f>VLOOKUP(Sales_Data_Analysis[[#This Row],[Gross_Sales]],Table3[],2,TRUE)</f>
        <v>0.05</v>
      </c>
      <c r="P102" s="21">
        <f>EOMONTH(Sales_Data_Analysis[[#This Row],[Order_Date]],1)</f>
        <v>43251</v>
      </c>
      <c r="Q102" s="1">
        <f>NETWORKDAYS(Sales_Data_Analysis[[#This Row],[Order_Date]],Sales_Data_Analysis[[#This Row],[Delivery_Date]])</f>
        <v>3</v>
      </c>
    </row>
    <row r="103" spans="1:17" x14ac:dyDescent="0.25">
      <c r="A103" s="1" t="s">
        <v>202</v>
      </c>
      <c r="B103" s="1" t="s">
        <v>203</v>
      </c>
      <c r="C103" s="1">
        <f>MONTH(Sales_Data_Analysis[[#This Row],[Order_Date]])</f>
        <v>1</v>
      </c>
      <c r="D103" s="1">
        <f>YEAR(Sales_Data_Analysis[[#This Row],[Order_Date]])</f>
        <v>2019</v>
      </c>
      <c r="E103" s="2">
        <v>43206</v>
      </c>
      <c r="F103" s="1" t="s">
        <v>28</v>
      </c>
      <c r="G103" s="1" t="s">
        <v>312</v>
      </c>
      <c r="H103" s="1" t="s">
        <v>305</v>
      </c>
      <c r="I103" s="2" t="s">
        <v>20</v>
      </c>
      <c r="J103" s="1" t="s">
        <v>67</v>
      </c>
      <c r="K103" s="18">
        <v>0</v>
      </c>
      <c r="L103" s="18">
        <v>727</v>
      </c>
      <c r="M103" s="18">
        <v>727</v>
      </c>
      <c r="N103" s="1" t="str">
        <f>IF(Sales_Data_Analysis[[#This Row],[Profit]]&lt;=Reference_Tables!$F$7,Reference_Tables!$G$7,IF(Sales_Data_Analysis[[#This Row],[Profit]]&lt;=Reference_Tables!$F$6,Reference_Tables!$G$6,IF(Sales_Data_Analysis[[#This Row],[Profit]]&lt;=Reference_Tables!$F$5,Reference_Tables!$G$5,Reference_Tables!$G$4)))</f>
        <v>Platinum</v>
      </c>
      <c r="O103" s="26">
        <f>VLOOKUP(Sales_Data_Analysis[[#This Row],[Gross_Sales]],Table3[],2,TRUE)</f>
        <v>0.02</v>
      </c>
      <c r="P103" s="21">
        <f>EOMONTH(Sales_Data_Analysis[[#This Row],[Order_Date]],1)</f>
        <v>43524</v>
      </c>
      <c r="Q103" s="1">
        <f>NETWORKDAYS(Sales_Data_Analysis[[#This Row],[Order_Date]],Sales_Data_Analysis[[#This Row],[Delivery_Date]])</f>
        <v>-189</v>
      </c>
    </row>
    <row r="104" spans="1:17" x14ac:dyDescent="0.25">
      <c r="A104" s="1" t="s">
        <v>206</v>
      </c>
      <c r="B104" s="1" t="s">
        <v>74</v>
      </c>
      <c r="C104" s="1">
        <f>MONTH(Sales_Data_Analysis[[#This Row],[Order_Date]])</f>
        <v>7</v>
      </c>
      <c r="D104" s="1">
        <f>YEAR(Sales_Data_Analysis[[#This Row],[Order_Date]])</f>
        <v>2018</v>
      </c>
      <c r="E104" s="2">
        <v>43207</v>
      </c>
      <c r="F104" s="1" t="s">
        <v>24</v>
      </c>
      <c r="G104" s="1" t="s">
        <v>311</v>
      </c>
      <c r="H104" s="1" t="s">
        <v>304</v>
      </c>
      <c r="I104" s="2" t="s">
        <v>37</v>
      </c>
      <c r="J104" s="1" t="s">
        <v>94</v>
      </c>
      <c r="K104" s="18">
        <v>0</v>
      </c>
      <c r="L104" s="18">
        <v>1138</v>
      </c>
      <c r="M104" s="18">
        <v>1138</v>
      </c>
      <c r="N104" s="1" t="str">
        <f>IF(Sales_Data_Analysis[[#This Row],[Profit]]&lt;=Reference_Tables!$F$7,Reference_Tables!$G$7,IF(Sales_Data_Analysis[[#This Row],[Profit]]&lt;=Reference_Tables!$F$6,Reference_Tables!$G$6,IF(Sales_Data_Analysis[[#This Row],[Profit]]&lt;=Reference_Tables!$F$5,Reference_Tables!$G$5,Reference_Tables!$G$4)))</f>
        <v>Diamond</v>
      </c>
      <c r="O104" s="26">
        <f>VLOOKUP(Sales_Data_Analysis[[#This Row],[Gross_Sales]],Table3[],2,TRUE)</f>
        <v>0.05</v>
      </c>
      <c r="P104" s="21">
        <f>EOMONTH(Sales_Data_Analysis[[#This Row],[Order_Date]],1)</f>
        <v>43343</v>
      </c>
      <c r="Q104" s="1">
        <f>NETWORKDAYS(Sales_Data_Analysis[[#This Row],[Order_Date]],Sales_Data_Analysis[[#This Row],[Delivery_Date]])</f>
        <v>-75</v>
      </c>
    </row>
    <row r="105" spans="1:17" x14ac:dyDescent="0.25">
      <c r="A105" s="1" t="s">
        <v>209</v>
      </c>
      <c r="B105" s="1" t="s">
        <v>210</v>
      </c>
      <c r="C105" s="1">
        <f>MONTH(Sales_Data_Analysis[[#This Row],[Order_Date]])</f>
        <v>2</v>
      </c>
      <c r="D105" s="1">
        <f>YEAR(Sales_Data_Analysis[[#This Row],[Order_Date]])</f>
        <v>2018</v>
      </c>
      <c r="E105" s="2">
        <v>43208</v>
      </c>
      <c r="F105" s="1" t="s">
        <v>44</v>
      </c>
      <c r="G105" s="1" t="s">
        <v>315</v>
      </c>
      <c r="H105" s="1" t="s">
        <v>305</v>
      </c>
      <c r="I105" s="2" t="s">
        <v>37</v>
      </c>
      <c r="J105" s="1" t="s">
        <v>94</v>
      </c>
      <c r="K105" s="18">
        <v>0</v>
      </c>
      <c r="L105" s="18">
        <v>1318</v>
      </c>
      <c r="M105" s="18">
        <v>1318</v>
      </c>
      <c r="N105" s="1" t="str">
        <f>IF(Sales_Data_Analysis[[#This Row],[Profit]]&lt;=Reference_Tables!$F$7,Reference_Tables!$G$7,IF(Sales_Data_Analysis[[#This Row],[Profit]]&lt;=Reference_Tables!$F$6,Reference_Tables!$G$6,IF(Sales_Data_Analysis[[#This Row],[Profit]]&lt;=Reference_Tables!$F$5,Reference_Tables!$G$5,Reference_Tables!$G$4)))</f>
        <v>Diamond</v>
      </c>
      <c r="O105" s="26">
        <f>VLOOKUP(Sales_Data_Analysis[[#This Row],[Gross_Sales]],Table3[],2,TRUE)</f>
        <v>0.05</v>
      </c>
      <c r="P105" s="21">
        <f>EOMONTH(Sales_Data_Analysis[[#This Row],[Order_Date]],1)</f>
        <v>43190</v>
      </c>
      <c r="Q105" s="1">
        <f>NETWORKDAYS(Sales_Data_Analysis[[#This Row],[Order_Date]],Sales_Data_Analysis[[#This Row],[Delivery_Date]])</f>
        <v>45</v>
      </c>
    </row>
    <row r="106" spans="1:17" x14ac:dyDescent="0.25">
      <c r="A106" s="1" t="s">
        <v>213</v>
      </c>
      <c r="B106" s="1" t="s">
        <v>214</v>
      </c>
      <c r="C106" s="1">
        <f>MONTH(Sales_Data_Analysis[[#This Row],[Order_Date]])</f>
        <v>8</v>
      </c>
      <c r="D106" s="1">
        <f>YEAR(Sales_Data_Analysis[[#This Row],[Order_Date]])</f>
        <v>2018</v>
      </c>
      <c r="E106" s="2">
        <v>43209</v>
      </c>
      <c r="F106" s="1" t="s">
        <v>14</v>
      </c>
      <c r="G106" s="1" t="s">
        <v>310</v>
      </c>
      <c r="H106" s="1" t="s">
        <v>304</v>
      </c>
      <c r="I106" s="2" t="s">
        <v>33</v>
      </c>
      <c r="J106" s="1" t="s">
        <v>54</v>
      </c>
      <c r="K106" s="18">
        <v>0</v>
      </c>
      <c r="L106" s="18">
        <v>815</v>
      </c>
      <c r="M106" s="18">
        <v>815</v>
      </c>
      <c r="N106" s="1" t="str">
        <f>IF(Sales_Data_Analysis[[#This Row],[Profit]]&lt;=Reference_Tables!$F$7,Reference_Tables!$G$7,IF(Sales_Data_Analysis[[#This Row],[Profit]]&lt;=Reference_Tables!$F$6,Reference_Tables!$G$6,IF(Sales_Data_Analysis[[#This Row],[Profit]]&lt;=Reference_Tables!$F$5,Reference_Tables!$G$5,Reference_Tables!$G$4)))</f>
        <v>Platinum</v>
      </c>
      <c r="O106" s="26">
        <f>VLOOKUP(Sales_Data_Analysis[[#This Row],[Gross_Sales]],Table3[],2,TRUE)</f>
        <v>0.02</v>
      </c>
      <c r="P106" s="21">
        <f>EOMONTH(Sales_Data_Analysis[[#This Row],[Order_Date]],1)</f>
        <v>43373</v>
      </c>
      <c r="Q106" s="1">
        <f>NETWORKDAYS(Sales_Data_Analysis[[#This Row],[Order_Date]],Sales_Data_Analysis[[#This Row],[Delivery_Date]])</f>
        <v>-84</v>
      </c>
    </row>
    <row r="107" spans="1:17" x14ac:dyDescent="0.25">
      <c r="A107" s="1" t="s">
        <v>215</v>
      </c>
      <c r="B107" s="1" t="s">
        <v>216</v>
      </c>
      <c r="C107" s="1">
        <f>MONTH(Sales_Data_Analysis[[#This Row],[Order_Date]])</f>
        <v>9</v>
      </c>
      <c r="D107" s="1">
        <f>YEAR(Sales_Data_Analysis[[#This Row],[Order_Date]])</f>
        <v>2018</v>
      </c>
      <c r="E107" s="2">
        <v>43210</v>
      </c>
      <c r="F107" s="1" t="s">
        <v>53</v>
      </c>
      <c r="G107" s="1" t="s">
        <v>313</v>
      </c>
      <c r="H107" s="1" t="s">
        <v>304</v>
      </c>
      <c r="I107" s="2" t="s">
        <v>10</v>
      </c>
      <c r="J107" s="1" t="s">
        <v>41</v>
      </c>
      <c r="K107" s="18">
        <v>0</v>
      </c>
      <c r="L107" s="18">
        <v>288</v>
      </c>
      <c r="M107" s="18">
        <v>288</v>
      </c>
      <c r="N107" s="1" t="str">
        <f>IF(Sales_Data_Analysis[[#This Row],[Profit]]&lt;=Reference_Tables!$F$7,Reference_Tables!$G$7,IF(Sales_Data_Analysis[[#This Row],[Profit]]&lt;=Reference_Tables!$F$6,Reference_Tables!$G$6,IF(Sales_Data_Analysis[[#This Row],[Profit]]&lt;=Reference_Tables!$F$5,Reference_Tables!$G$5,Reference_Tables!$G$4)))</f>
        <v>Silver</v>
      </c>
      <c r="O107" s="26">
        <f>VLOOKUP(Sales_Data_Analysis[[#This Row],[Gross_Sales]],Table3[],2,TRUE)</f>
        <v>0</v>
      </c>
      <c r="P107" s="21">
        <f>EOMONTH(Sales_Data_Analysis[[#This Row],[Order_Date]],1)</f>
        <v>43404</v>
      </c>
      <c r="Q107" s="1">
        <f>NETWORKDAYS(Sales_Data_Analysis[[#This Row],[Order_Date]],Sales_Data_Analysis[[#This Row],[Delivery_Date]])</f>
        <v>-112</v>
      </c>
    </row>
    <row r="108" spans="1:17" x14ac:dyDescent="0.25">
      <c r="A108" s="1" t="s">
        <v>217</v>
      </c>
      <c r="B108" s="1" t="s">
        <v>218</v>
      </c>
      <c r="C108" s="1">
        <f>MONTH(Sales_Data_Analysis[[#This Row],[Order_Date]])</f>
        <v>2</v>
      </c>
      <c r="D108" s="1">
        <f>YEAR(Sales_Data_Analysis[[#This Row],[Order_Date]])</f>
        <v>2018</v>
      </c>
      <c r="E108" s="2">
        <v>43211</v>
      </c>
      <c r="F108" s="1" t="s">
        <v>24</v>
      </c>
      <c r="G108" s="1" t="s">
        <v>311</v>
      </c>
      <c r="H108" s="1" t="s">
        <v>304</v>
      </c>
      <c r="I108" s="2" t="s">
        <v>10</v>
      </c>
      <c r="J108" s="1" t="s">
        <v>41</v>
      </c>
      <c r="K108" s="18">
        <v>0</v>
      </c>
      <c r="L108" s="18">
        <v>780</v>
      </c>
      <c r="M108" s="18">
        <v>780</v>
      </c>
      <c r="N108" s="1" t="str">
        <f>IF(Sales_Data_Analysis[[#This Row],[Profit]]&lt;=Reference_Tables!$F$7,Reference_Tables!$G$7,IF(Sales_Data_Analysis[[#This Row],[Profit]]&lt;=Reference_Tables!$F$6,Reference_Tables!$G$6,IF(Sales_Data_Analysis[[#This Row],[Profit]]&lt;=Reference_Tables!$F$5,Reference_Tables!$G$5,Reference_Tables!$G$4)))</f>
        <v>Platinum</v>
      </c>
      <c r="O108" s="26">
        <f>VLOOKUP(Sales_Data_Analysis[[#This Row],[Gross_Sales]],Table3[],2,TRUE)</f>
        <v>0.02</v>
      </c>
      <c r="P108" s="21">
        <f>EOMONTH(Sales_Data_Analysis[[#This Row],[Order_Date]],1)</f>
        <v>43190</v>
      </c>
      <c r="Q108" s="1">
        <f>NETWORKDAYS(Sales_Data_Analysis[[#This Row],[Order_Date]],Sales_Data_Analysis[[#This Row],[Delivery_Date]])</f>
        <v>53</v>
      </c>
    </row>
    <row r="109" spans="1:17" x14ac:dyDescent="0.25">
      <c r="A109" s="1" t="s">
        <v>219</v>
      </c>
      <c r="B109" s="1" t="s">
        <v>220</v>
      </c>
      <c r="C109" s="1">
        <f>MONTH(Sales_Data_Analysis[[#This Row],[Order_Date]])</f>
        <v>4</v>
      </c>
      <c r="D109" s="1">
        <f>YEAR(Sales_Data_Analysis[[#This Row],[Order_Date]])</f>
        <v>2019</v>
      </c>
      <c r="E109" s="2">
        <v>43212</v>
      </c>
      <c r="F109" s="1" t="s">
        <v>9</v>
      </c>
      <c r="G109" s="1" t="s">
        <v>314</v>
      </c>
      <c r="H109" s="1" t="s">
        <v>306</v>
      </c>
      <c r="I109" s="2" t="s">
        <v>33</v>
      </c>
      <c r="J109" s="1" t="s">
        <v>34</v>
      </c>
      <c r="K109" s="18">
        <v>0</v>
      </c>
      <c r="L109" s="18">
        <v>1414</v>
      </c>
      <c r="M109" s="18">
        <v>1414</v>
      </c>
      <c r="N109" s="1" t="str">
        <f>IF(Sales_Data_Analysis[[#This Row],[Profit]]&lt;=Reference_Tables!$F$7,Reference_Tables!$G$7,IF(Sales_Data_Analysis[[#This Row],[Profit]]&lt;=Reference_Tables!$F$6,Reference_Tables!$G$6,IF(Sales_Data_Analysis[[#This Row],[Profit]]&lt;=Reference_Tables!$F$5,Reference_Tables!$G$5,Reference_Tables!$G$4)))</f>
        <v>Diamond</v>
      </c>
      <c r="O109" s="26">
        <f>VLOOKUP(Sales_Data_Analysis[[#This Row],[Gross_Sales]],Table3[],2,TRUE)</f>
        <v>0.05</v>
      </c>
      <c r="P109" s="21">
        <f>EOMONTH(Sales_Data_Analysis[[#This Row],[Order_Date]],1)</f>
        <v>43616</v>
      </c>
      <c r="Q109" s="1">
        <f>NETWORKDAYS(Sales_Data_Analysis[[#This Row],[Order_Date]],Sales_Data_Analysis[[#This Row],[Delivery_Date]])</f>
        <v>-253</v>
      </c>
    </row>
    <row r="110" spans="1:17" x14ac:dyDescent="0.25">
      <c r="A110" s="1" t="s">
        <v>221</v>
      </c>
      <c r="B110" s="1" t="s">
        <v>222</v>
      </c>
      <c r="C110" s="1">
        <f>MONTH(Sales_Data_Analysis[[#This Row],[Order_Date]])</f>
        <v>9</v>
      </c>
      <c r="D110" s="1">
        <f>YEAR(Sales_Data_Analysis[[#This Row],[Order_Date]])</f>
        <v>2018</v>
      </c>
      <c r="E110" s="2">
        <v>43213</v>
      </c>
      <c r="F110" s="1" t="s">
        <v>50</v>
      </c>
      <c r="G110" s="1" t="s">
        <v>319</v>
      </c>
      <c r="H110" s="1" t="s">
        <v>304</v>
      </c>
      <c r="I110" s="2" t="s">
        <v>15</v>
      </c>
      <c r="J110" s="1" t="s">
        <v>85</v>
      </c>
      <c r="K110" s="18">
        <v>0</v>
      </c>
      <c r="L110" s="18">
        <v>965</v>
      </c>
      <c r="M110" s="18">
        <v>965</v>
      </c>
      <c r="N110" s="1" t="str">
        <f>IF(Sales_Data_Analysis[[#This Row],[Profit]]&lt;=Reference_Tables!$F$7,Reference_Tables!$G$7,IF(Sales_Data_Analysis[[#This Row],[Profit]]&lt;=Reference_Tables!$F$6,Reference_Tables!$G$6,IF(Sales_Data_Analysis[[#This Row],[Profit]]&lt;=Reference_Tables!$F$5,Reference_Tables!$G$5,Reference_Tables!$G$4)))</f>
        <v>Diamond</v>
      </c>
      <c r="O110" s="26">
        <f>VLOOKUP(Sales_Data_Analysis[[#This Row],[Gross_Sales]],Table3[],2,TRUE)</f>
        <v>0.02</v>
      </c>
      <c r="P110" s="21">
        <f>EOMONTH(Sales_Data_Analysis[[#This Row],[Order_Date]],1)</f>
        <v>43404</v>
      </c>
      <c r="Q110" s="1">
        <f>NETWORKDAYS(Sales_Data_Analysis[[#This Row],[Order_Date]],Sales_Data_Analysis[[#This Row],[Delivery_Date]])</f>
        <v>-97</v>
      </c>
    </row>
    <row r="111" spans="1:17" x14ac:dyDescent="0.25">
      <c r="A111" s="1" t="s">
        <v>223</v>
      </c>
      <c r="B111" s="1" t="s">
        <v>224</v>
      </c>
      <c r="C111" s="1">
        <f>MONTH(Sales_Data_Analysis[[#This Row],[Order_Date]])</f>
        <v>11</v>
      </c>
      <c r="D111" s="1">
        <f>YEAR(Sales_Data_Analysis[[#This Row],[Order_Date]])</f>
        <v>2018</v>
      </c>
      <c r="E111" s="2">
        <v>43214</v>
      </c>
      <c r="F111" s="1" t="s">
        <v>14</v>
      </c>
      <c r="G111" s="1" t="s">
        <v>310</v>
      </c>
      <c r="H111" s="1" t="s">
        <v>304</v>
      </c>
      <c r="I111" s="2" t="s">
        <v>20</v>
      </c>
      <c r="J111" s="1" t="s">
        <v>29</v>
      </c>
      <c r="K111" s="18">
        <v>0</v>
      </c>
      <c r="L111" s="18">
        <v>1379</v>
      </c>
      <c r="M111" s="18">
        <v>1379</v>
      </c>
      <c r="N111" s="1" t="str">
        <f>IF(Sales_Data_Analysis[[#This Row],[Profit]]&lt;=Reference_Tables!$F$7,Reference_Tables!$G$7,IF(Sales_Data_Analysis[[#This Row],[Profit]]&lt;=Reference_Tables!$F$6,Reference_Tables!$G$6,IF(Sales_Data_Analysis[[#This Row],[Profit]]&lt;=Reference_Tables!$F$5,Reference_Tables!$G$5,Reference_Tables!$G$4)))</f>
        <v>Diamond</v>
      </c>
      <c r="O111" s="26">
        <f>VLOOKUP(Sales_Data_Analysis[[#This Row],[Gross_Sales]],Table3[],2,TRUE)</f>
        <v>0.05</v>
      </c>
      <c r="P111" s="21">
        <f>EOMONTH(Sales_Data_Analysis[[#This Row],[Order_Date]],1)</f>
        <v>43465</v>
      </c>
      <c r="Q111" s="1">
        <f>NETWORKDAYS(Sales_Data_Analysis[[#This Row],[Order_Date]],Sales_Data_Analysis[[#This Row],[Delivery_Date]])</f>
        <v>-150</v>
      </c>
    </row>
    <row r="112" spans="1:17" x14ac:dyDescent="0.25">
      <c r="A112" s="1" t="s">
        <v>225</v>
      </c>
      <c r="B112" s="1" t="s">
        <v>226</v>
      </c>
      <c r="C112" s="1">
        <f>MONTH(Sales_Data_Analysis[[#This Row],[Order_Date]])</f>
        <v>10</v>
      </c>
      <c r="D112" s="1">
        <f>YEAR(Sales_Data_Analysis[[#This Row],[Order_Date]])</f>
        <v>2018</v>
      </c>
      <c r="E112" s="2">
        <v>43215</v>
      </c>
      <c r="F112" s="1" t="s">
        <v>24</v>
      </c>
      <c r="G112" s="1" t="s">
        <v>311</v>
      </c>
      <c r="H112" s="1" t="s">
        <v>304</v>
      </c>
      <c r="I112" s="2" t="s">
        <v>15</v>
      </c>
      <c r="J112" s="1" t="s">
        <v>45</v>
      </c>
      <c r="K112" s="18">
        <v>0</v>
      </c>
      <c r="L112" s="18">
        <v>745</v>
      </c>
      <c r="M112" s="18">
        <v>745</v>
      </c>
      <c r="N112" s="1" t="str">
        <f>IF(Sales_Data_Analysis[[#This Row],[Profit]]&lt;=Reference_Tables!$F$7,Reference_Tables!$G$7,IF(Sales_Data_Analysis[[#This Row],[Profit]]&lt;=Reference_Tables!$F$6,Reference_Tables!$G$6,IF(Sales_Data_Analysis[[#This Row],[Profit]]&lt;=Reference_Tables!$F$5,Reference_Tables!$G$5,Reference_Tables!$G$4)))</f>
        <v>Platinum</v>
      </c>
      <c r="O112" s="26">
        <f>VLOOKUP(Sales_Data_Analysis[[#This Row],[Gross_Sales]],Table3[],2,TRUE)</f>
        <v>0.02</v>
      </c>
      <c r="P112" s="21">
        <f>EOMONTH(Sales_Data_Analysis[[#This Row],[Order_Date]],1)</f>
        <v>43434</v>
      </c>
      <c r="Q112" s="1">
        <f>NETWORKDAYS(Sales_Data_Analysis[[#This Row],[Order_Date]],Sales_Data_Analysis[[#This Row],[Delivery_Date]])</f>
        <v>-134</v>
      </c>
    </row>
    <row r="113" spans="1:17" x14ac:dyDescent="0.25">
      <c r="A113" s="1" t="s">
        <v>229</v>
      </c>
      <c r="B113" s="1" t="s">
        <v>230</v>
      </c>
      <c r="C113" s="1">
        <f>MONTH(Sales_Data_Analysis[[#This Row],[Order_Date]])</f>
        <v>11</v>
      </c>
      <c r="D113" s="1">
        <f>YEAR(Sales_Data_Analysis[[#This Row],[Order_Date]])</f>
        <v>2019</v>
      </c>
      <c r="E113" s="2">
        <v>43216</v>
      </c>
      <c r="F113" s="1" t="s">
        <v>19</v>
      </c>
      <c r="G113" s="1" t="s">
        <v>316</v>
      </c>
      <c r="H113" s="1" t="s">
        <v>306</v>
      </c>
      <c r="I113" s="2" t="s">
        <v>20</v>
      </c>
      <c r="J113" s="1" t="s">
        <v>21</v>
      </c>
      <c r="K113" s="18">
        <v>0</v>
      </c>
      <c r="L113" s="18">
        <v>1051</v>
      </c>
      <c r="M113" s="18">
        <v>1051</v>
      </c>
      <c r="N113" s="1" t="str">
        <f>IF(Sales_Data_Analysis[[#This Row],[Profit]]&lt;=Reference_Tables!$F$7,Reference_Tables!$G$7,IF(Sales_Data_Analysis[[#This Row],[Profit]]&lt;=Reference_Tables!$F$6,Reference_Tables!$G$6,IF(Sales_Data_Analysis[[#This Row],[Profit]]&lt;=Reference_Tables!$F$5,Reference_Tables!$G$5,Reference_Tables!$G$4)))</f>
        <v>Diamond</v>
      </c>
      <c r="O113" s="26">
        <f>VLOOKUP(Sales_Data_Analysis[[#This Row],[Gross_Sales]],Table3[],2,TRUE)</f>
        <v>0.05</v>
      </c>
      <c r="P113" s="21">
        <f>EOMONTH(Sales_Data_Analysis[[#This Row],[Order_Date]],1)</f>
        <v>43830</v>
      </c>
      <c r="Q113" s="1">
        <f>NETWORKDAYS(Sales_Data_Analysis[[#This Row],[Order_Date]],Sales_Data_Analysis[[#This Row],[Delivery_Date]])</f>
        <v>-417</v>
      </c>
    </row>
    <row r="114" spans="1:17" x14ac:dyDescent="0.25">
      <c r="A114" s="1" t="s">
        <v>231</v>
      </c>
      <c r="B114" s="1" t="s">
        <v>155</v>
      </c>
      <c r="C114" s="1">
        <f>MONTH(Sales_Data_Analysis[[#This Row],[Order_Date]])</f>
        <v>6</v>
      </c>
      <c r="D114" s="1">
        <f>YEAR(Sales_Data_Analysis[[#This Row],[Order_Date]])</f>
        <v>2019</v>
      </c>
      <c r="E114" s="2">
        <v>43217</v>
      </c>
      <c r="F114" s="1" t="s">
        <v>24</v>
      </c>
      <c r="G114" s="1" t="s">
        <v>311</v>
      </c>
      <c r="H114" s="1" t="s">
        <v>304</v>
      </c>
      <c r="I114" s="2" t="s">
        <v>10</v>
      </c>
      <c r="J114" s="1" t="s">
        <v>41</v>
      </c>
      <c r="K114" s="18">
        <v>0</v>
      </c>
      <c r="L114" s="18">
        <v>656</v>
      </c>
      <c r="M114" s="18">
        <v>656</v>
      </c>
      <c r="N114" s="1" t="str">
        <f>IF(Sales_Data_Analysis[[#This Row],[Profit]]&lt;=Reference_Tables!$F$7,Reference_Tables!$G$7,IF(Sales_Data_Analysis[[#This Row],[Profit]]&lt;=Reference_Tables!$F$6,Reference_Tables!$G$6,IF(Sales_Data_Analysis[[#This Row],[Profit]]&lt;=Reference_Tables!$F$5,Reference_Tables!$G$5,Reference_Tables!$G$4)))</f>
        <v>Platinum</v>
      </c>
      <c r="O114" s="26">
        <f>VLOOKUP(Sales_Data_Analysis[[#This Row],[Gross_Sales]],Table3[],2,TRUE)</f>
        <v>0.02</v>
      </c>
      <c r="P114" s="21">
        <f>EOMONTH(Sales_Data_Analysis[[#This Row],[Order_Date]],1)</f>
        <v>43677</v>
      </c>
      <c r="Q114" s="1">
        <f>NETWORKDAYS(Sales_Data_Analysis[[#This Row],[Order_Date]],Sales_Data_Analysis[[#This Row],[Delivery_Date]])</f>
        <v>-306</v>
      </c>
    </row>
    <row r="115" spans="1:17" x14ac:dyDescent="0.25">
      <c r="A115" s="1" t="s">
        <v>232</v>
      </c>
      <c r="B115" s="1" t="s">
        <v>174</v>
      </c>
      <c r="C115" s="1">
        <f>MONTH(Sales_Data_Analysis[[#This Row],[Order_Date]])</f>
        <v>8</v>
      </c>
      <c r="D115" s="1">
        <f>YEAR(Sales_Data_Analysis[[#This Row],[Order_Date]])</f>
        <v>2018</v>
      </c>
      <c r="E115" s="2">
        <v>43218</v>
      </c>
      <c r="F115" s="1" t="s">
        <v>63</v>
      </c>
      <c r="G115" s="1" t="s">
        <v>318</v>
      </c>
      <c r="H115" s="1" t="s">
        <v>306</v>
      </c>
      <c r="I115" s="2" t="s">
        <v>10</v>
      </c>
      <c r="J115" s="1" t="s">
        <v>11</v>
      </c>
      <c r="K115" s="18">
        <v>0</v>
      </c>
      <c r="L115" s="18">
        <v>356</v>
      </c>
      <c r="M115" s="18">
        <v>356</v>
      </c>
      <c r="N115" s="1" t="str">
        <f>IF(Sales_Data_Analysis[[#This Row],[Profit]]&lt;=Reference_Tables!$F$7,Reference_Tables!$G$7,IF(Sales_Data_Analysis[[#This Row],[Profit]]&lt;=Reference_Tables!$F$6,Reference_Tables!$G$6,IF(Sales_Data_Analysis[[#This Row],[Profit]]&lt;=Reference_Tables!$F$5,Reference_Tables!$G$5,Reference_Tables!$G$4)))</f>
        <v>Gold</v>
      </c>
      <c r="O115" s="26">
        <f>VLOOKUP(Sales_Data_Analysis[[#This Row],[Gross_Sales]],Table3[],2,TRUE)</f>
        <v>0</v>
      </c>
      <c r="P115" s="21">
        <f>EOMONTH(Sales_Data_Analysis[[#This Row],[Order_Date]],1)</f>
        <v>43373</v>
      </c>
      <c r="Q115" s="1">
        <f>NETWORKDAYS(Sales_Data_Analysis[[#This Row],[Order_Date]],Sales_Data_Analysis[[#This Row],[Delivery_Date]])</f>
        <v>-87</v>
      </c>
    </row>
    <row r="116" spans="1:17" x14ac:dyDescent="0.25">
      <c r="A116" s="1" t="s">
        <v>239</v>
      </c>
      <c r="B116" s="1" t="s">
        <v>240</v>
      </c>
      <c r="C116" s="1">
        <f>MONTH(Sales_Data_Analysis[[#This Row],[Order_Date]])</f>
        <v>11</v>
      </c>
      <c r="D116" s="1">
        <f>YEAR(Sales_Data_Analysis[[#This Row],[Order_Date]])</f>
        <v>2018</v>
      </c>
      <c r="E116" s="2">
        <v>43219</v>
      </c>
      <c r="F116" s="1" t="s">
        <v>24</v>
      </c>
      <c r="G116" s="1" t="s">
        <v>311</v>
      </c>
      <c r="H116" s="1" t="s">
        <v>304</v>
      </c>
      <c r="I116" s="2" t="s">
        <v>15</v>
      </c>
      <c r="J116" s="1" t="s">
        <v>45</v>
      </c>
      <c r="K116" s="18">
        <v>0</v>
      </c>
      <c r="L116" s="18">
        <v>904</v>
      </c>
      <c r="M116" s="18">
        <v>904</v>
      </c>
      <c r="N116" s="1" t="str">
        <f>IF(Sales_Data_Analysis[[#This Row],[Profit]]&lt;=Reference_Tables!$F$7,Reference_Tables!$G$7,IF(Sales_Data_Analysis[[#This Row],[Profit]]&lt;=Reference_Tables!$F$6,Reference_Tables!$G$6,IF(Sales_Data_Analysis[[#This Row],[Profit]]&lt;=Reference_Tables!$F$5,Reference_Tables!$G$5,Reference_Tables!$G$4)))</f>
        <v>Diamond</v>
      </c>
      <c r="O116" s="26">
        <f>VLOOKUP(Sales_Data_Analysis[[#This Row],[Gross_Sales]],Table3[],2,TRUE)</f>
        <v>0.02</v>
      </c>
      <c r="P116" s="21">
        <f>EOMONTH(Sales_Data_Analysis[[#This Row],[Order_Date]],1)</f>
        <v>43465</v>
      </c>
      <c r="Q116" s="1">
        <f>NETWORKDAYS(Sales_Data_Analysis[[#This Row],[Order_Date]],Sales_Data_Analysis[[#This Row],[Delivery_Date]])</f>
        <v>-136</v>
      </c>
    </row>
    <row r="117" spans="1:17" x14ac:dyDescent="0.25">
      <c r="A117" s="1" t="s">
        <v>241</v>
      </c>
      <c r="B117" s="1" t="s">
        <v>242</v>
      </c>
      <c r="C117" s="1">
        <f>MONTH(Sales_Data_Analysis[[#This Row],[Order_Date]])</f>
        <v>2</v>
      </c>
      <c r="D117" s="1">
        <f>YEAR(Sales_Data_Analysis[[#This Row],[Order_Date]])</f>
        <v>2018</v>
      </c>
      <c r="E117" s="2">
        <v>43220</v>
      </c>
      <c r="F117" s="1" t="s">
        <v>14</v>
      </c>
      <c r="G117" s="1" t="s">
        <v>310</v>
      </c>
      <c r="H117" s="1" t="s">
        <v>304</v>
      </c>
      <c r="I117" s="2" t="s">
        <v>37</v>
      </c>
      <c r="J117" s="1" t="s">
        <v>94</v>
      </c>
      <c r="K117" s="18">
        <v>0</v>
      </c>
      <c r="L117" s="18">
        <v>1453</v>
      </c>
      <c r="M117" s="18">
        <v>1453</v>
      </c>
      <c r="N117" s="1" t="str">
        <f>IF(Sales_Data_Analysis[[#This Row],[Profit]]&lt;=Reference_Tables!$F$7,Reference_Tables!$G$7,IF(Sales_Data_Analysis[[#This Row],[Profit]]&lt;=Reference_Tables!$F$6,Reference_Tables!$G$6,IF(Sales_Data_Analysis[[#This Row],[Profit]]&lt;=Reference_Tables!$F$5,Reference_Tables!$G$5,Reference_Tables!$G$4)))</f>
        <v>Diamond</v>
      </c>
      <c r="O117" s="26">
        <f>VLOOKUP(Sales_Data_Analysis[[#This Row],[Gross_Sales]],Table3[],2,TRUE)</f>
        <v>0.05</v>
      </c>
      <c r="P117" s="21">
        <f>EOMONTH(Sales_Data_Analysis[[#This Row],[Order_Date]],1)</f>
        <v>43190</v>
      </c>
      <c r="Q117" s="1">
        <f>NETWORKDAYS(Sales_Data_Analysis[[#This Row],[Order_Date]],Sales_Data_Analysis[[#This Row],[Delivery_Date]])</f>
        <v>56</v>
      </c>
    </row>
    <row r="118" spans="1:17" x14ac:dyDescent="0.25">
      <c r="A118" s="1" t="s">
        <v>243</v>
      </c>
      <c r="B118" s="1" t="s">
        <v>244</v>
      </c>
      <c r="C118" s="1">
        <f>MONTH(Sales_Data_Analysis[[#This Row],[Order_Date]])</f>
        <v>11</v>
      </c>
      <c r="D118" s="1">
        <f>YEAR(Sales_Data_Analysis[[#This Row],[Order_Date]])</f>
        <v>2018</v>
      </c>
      <c r="E118" s="2">
        <v>43221</v>
      </c>
      <c r="F118" s="1" t="s">
        <v>53</v>
      </c>
      <c r="G118" s="1" t="s">
        <v>313</v>
      </c>
      <c r="H118" s="1" t="s">
        <v>304</v>
      </c>
      <c r="I118" s="2" t="s">
        <v>33</v>
      </c>
      <c r="J118" s="1" t="s">
        <v>97</v>
      </c>
      <c r="K118" s="18">
        <v>0</v>
      </c>
      <c r="L118" s="18">
        <v>512</v>
      </c>
      <c r="M118" s="18">
        <v>512</v>
      </c>
      <c r="N118" s="1" t="str">
        <f>IF(Sales_Data_Analysis[[#This Row],[Profit]]&lt;=Reference_Tables!$F$7,Reference_Tables!$G$7,IF(Sales_Data_Analysis[[#This Row],[Profit]]&lt;=Reference_Tables!$F$6,Reference_Tables!$G$6,IF(Sales_Data_Analysis[[#This Row],[Profit]]&lt;=Reference_Tables!$F$5,Reference_Tables!$G$5,Reference_Tables!$G$4)))</f>
        <v>Gold</v>
      </c>
      <c r="O118" s="26">
        <f>VLOOKUP(Sales_Data_Analysis[[#This Row],[Gross_Sales]],Table3[],2,TRUE)</f>
        <v>0.02</v>
      </c>
      <c r="P118" s="21">
        <f>EOMONTH(Sales_Data_Analysis[[#This Row],[Order_Date]],1)</f>
        <v>43465</v>
      </c>
      <c r="Q118" s="1">
        <f>NETWORKDAYS(Sales_Data_Analysis[[#This Row],[Order_Date]],Sales_Data_Analysis[[#This Row],[Delivery_Date]])</f>
        <v>-139</v>
      </c>
    </row>
    <row r="119" spans="1:17" x14ac:dyDescent="0.25">
      <c r="A119" s="1" t="s">
        <v>247</v>
      </c>
      <c r="B119" s="1" t="s">
        <v>248</v>
      </c>
      <c r="C119" s="1">
        <f>MONTH(Sales_Data_Analysis[[#This Row],[Order_Date]])</f>
        <v>4</v>
      </c>
      <c r="D119" s="1">
        <f>YEAR(Sales_Data_Analysis[[#This Row],[Order_Date]])</f>
        <v>2019</v>
      </c>
      <c r="E119" s="2">
        <v>43222</v>
      </c>
      <c r="F119" s="1" t="s">
        <v>53</v>
      </c>
      <c r="G119" s="1" t="s">
        <v>313</v>
      </c>
      <c r="H119" s="1" t="s">
        <v>304</v>
      </c>
      <c r="I119" s="2" t="s">
        <v>10</v>
      </c>
      <c r="J119" s="1" t="s">
        <v>41</v>
      </c>
      <c r="K119" s="18">
        <v>0</v>
      </c>
      <c r="L119" s="18">
        <v>533</v>
      </c>
      <c r="M119" s="18">
        <v>533</v>
      </c>
      <c r="N119" s="1" t="str">
        <f>IF(Sales_Data_Analysis[[#This Row],[Profit]]&lt;=Reference_Tables!$F$7,Reference_Tables!$G$7,IF(Sales_Data_Analysis[[#This Row],[Profit]]&lt;=Reference_Tables!$F$6,Reference_Tables!$G$6,IF(Sales_Data_Analysis[[#This Row],[Profit]]&lt;=Reference_Tables!$F$5,Reference_Tables!$G$5,Reference_Tables!$G$4)))</f>
        <v>Gold</v>
      </c>
      <c r="O119" s="26">
        <f>VLOOKUP(Sales_Data_Analysis[[#This Row],[Gross_Sales]],Table3[],2,TRUE)</f>
        <v>0.02</v>
      </c>
      <c r="P119" s="21">
        <f>EOMONTH(Sales_Data_Analysis[[#This Row],[Order_Date]],1)</f>
        <v>43616</v>
      </c>
      <c r="Q119" s="1">
        <f>NETWORKDAYS(Sales_Data_Analysis[[#This Row],[Order_Date]],Sales_Data_Analysis[[#This Row],[Delivery_Date]])</f>
        <v>-245</v>
      </c>
    </row>
    <row r="120" spans="1:17" x14ac:dyDescent="0.25">
      <c r="A120" s="1" t="s">
        <v>255</v>
      </c>
      <c r="B120" s="1" t="s">
        <v>256</v>
      </c>
      <c r="C120" s="1">
        <f>MONTH(Sales_Data_Analysis[[#This Row],[Order_Date]])</f>
        <v>11</v>
      </c>
      <c r="D120" s="1">
        <f>YEAR(Sales_Data_Analysis[[#This Row],[Order_Date]])</f>
        <v>2018</v>
      </c>
      <c r="E120" s="2">
        <v>43223</v>
      </c>
      <c r="F120" s="1" t="s">
        <v>9</v>
      </c>
      <c r="G120" s="1" t="s">
        <v>314</v>
      </c>
      <c r="H120" s="1" t="s">
        <v>306</v>
      </c>
      <c r="I120" s="2" t="s">
        <v>37</v>
      </c>
      <c r="J120" s="1" t="s">
        <v>124</v>
      </c>
      <c r="K120" s="18">
        <v>0</v>
      </c>
      <c r="L120" s="18">
        <v>931</v>
      </c>
      <c r="M120" s="18">
        <v>931</v>
      </c>
      <c r="N120" s="1" t="str">
        <f>IF(Sales_Data_Analysis[[#This Row],[Profit]]&lt;=Reference_Tables!$F$7,Reference_Tables!$G$7,IF(Sales_Data_Analysis[[#This Row],[Profit]]&lt;=Reference_Tables!$F$6,Reference_Tables!$G$6,IF(Sales_Data_Analysis[[#This Row],[Profit]]&lt;=Reference_Tables!$F$5,Reference_Tables!$G$5,Reference_Tables!$G$4)))</f>
        <v>Diamond</v>
      </c>
      <c r="O120" s="26">
        <f>VLOOKUP(Sales_Data_Analysis[[#This Row],[Gross_Sales]],Table3[],2,TRUE)</f>
        <v>0.02</v>
      </c>
      <c r="P120" s="21">
        <f>EOMONTH(Sales_Data_Analysis[[#This Row],[Order_Date]],1)</f>
        <v>43465</v>
      </c>
      <c r="Q120" s="1">
        <f>NETWORKDAYS(Sales_Data_Analysis[[#This Row],[Order_Date]],Sales_Data_Analysis[[#This Row],[Delivery_Date]])</f>
        <v>-134</v>
      </c>
    </row>
    <row r="121" spans="1:17" x14ac:dyDescent="0.25">
      <c r="K121"/>
      <c r="L121"/>
      <c r="P121"/>
    </row>
    <row r="122" spans="1:17" x14ac:dyDescent="0.25">
      <c r="K122"/>
      <c r="L122"/>
      <c r="P122"/>
    </row>
    <row r="123" spans="1:17" x14ac:dyDescent="0.25">
      <c r="K123"/>
      <c r="L123"/>
      <c r="P123"/>
    </row>
    <row r="124" spans="1:17" x14ac:dyDescent="0.25">
      <c r="K124"/>
      <c r="L124"/>
      <c r="P124"/>
    </row>
    <row r="125" spans="1:17" x14ac:dyDescent="0.25">
      <c r="K125"/>
      <c r="L125"/>
      <c r="P125"/>
    </row>
    <row r="126" spans="1:17" x14ac:dyDescent="0.25">
      <c r="K126"/>
      <c r="L126"/>
      <c r="P126"/>
    </row>
    <row r="127" spans="1:17" x14ac:dyDescent="0.25">
      <c r="K127"/>
      <c r="L127"/>
      <c r="P127"/>
    </row>
    <row r="128" spans="1:17" x14ac:dyDescent="0.25">
      <c r="K128"/>
      <c r="L128"/>
      <c r="P128"/>
    </row>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sheetData>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7311D53-E628-4B61-A5F9-188B5A3F174E}">
          <x14:formula1>
            <xm:f>Reference_Tables!$A$10:$A$27</xm:f>
          </x14:formula1>
          <xm:sqref>S3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B3D0C-7999-481F-9CCC-F7BE022CA4B3}">
  <sheetPr>
    <tabColor theme="5" tint="0.39997558519241921"/>
  </sheetPr>
  <dimension ref="A2:I27"/>
  <sheetViews>
    <sheetView workbookViewId="0">
      <selection activeCell="E10" sqref="E10"/>
    </sheetView>
  </sheetViews>
  <sheetFormatPr defaultRowHeight="15" x14ac:dyDescent="0.25"/>
  <cols>
    <col min="1" max="1" width="41.140625" customWidth="1"/>
    <col min="2" max="2" width="13.28515625" bestFit="1" customWidth="1"/>
    <col min="5" max="5" width="14.85546875" customWidth="1"/>
    <col min="6" max="6" width="10.7109375" customWidth="1"/>
  </cols>
  <sheetData>
    <row r="2" spans="1:9" x14ac:dyDescent="0.25">
      <c r="A2" s="7"/>
      <c r="B2" s="8" t="s">
        <v>72</v>
      </c>
      <c r="C2" s="6"/>
      <c r="D2" s="5" t="s">
        <v>72</v>
      </c>
      <c r="F2" s="8" t="s">
        <v>72</v>
      </c>
      <c r="G2" s="3"/>
      <c r="H2" s="3"/>
      <c r="I2" s="4"/>
    </row>
    <row r="3" spans="1:9" x14ac:dyDescent="0.25">
      <c r="A3" t="s">
        <v>265</v>
      </c>
      <c r="B3" t="s">
        <v>266</v>
      </c>
      <c r="E3" s="11" t="s">
        <v>327</v>
      </c>
      <c r="F3" t="s">
        <v>328</v>
      </c>
      <c r="G3" t="s">
        <v>320</v>
      </c>
    </row>
    <row r="4" spans="1:9" x14ac:dyDescent="0.25">
      <c r="A4" s="18">
        <v>0</v>
      </c>
      <c r="B4" s="20">
        <v>0</v>
      </c>
      <c r="E4" s="12">
        <v>900</v>
      </c>
      <c r="F4" s="12" t="s">
        <v>326</v>
      </c>
      <c r="G4" s="12" t="s">
        <v>321</v>
      </c>
    </row>
    <row r="5" spans="1:9" x14ac:dyDescent="0.25">
      <c r="A5" s="18">
        <v>500</v>
      </c>
      <c r="B5" s="20">
        <v>0.02</v>
      </c>
      <c r="E5" s="12">
        <v>600</v>
      </c>
      <c r="F5" s="12">
        <v>900</v>
      </c>
      <c r="G5" s="12" t="s">
        <v>322</v>
      </c>
    </row>
    <row r="6" spans="1:9" x14ac:dyDescent="0.25">
      <c r="A6" s="18">
        <v>1000</v>
      </c>
      <c r="B6" s="20">
        <v>0.05</v>
      </c>
      <c r="E6" s="12">
        <v>300</v>
      </c>
      <c r="F6" s="12">
        <v>600</v>
      </c>
      <c r="G6" s="12" t="s">
        <v>323</v>
      </c>
    </row>
    <row r="7" spans="1:9" x14ac:dyDescent="0.25">
      <c r="A7" s="18">
        <v>1500</v>
      </c>
      <c r="B7" s="20">
        <v>0.1</v>
      </c>
      <c r="E7" s="12">
        <v>0</v>
      </c>
      <c r="F7" s="12">
        <v>300</v>
      </c>
      <c r="G7" s="12" t="s">
        <v>324</v>
      </c>
    </row>
    <row r="8" spans="1:9" x14ac:dyDescent="0.25">
      <c r="A8" s="9" t="s">
        <v>72</v>
      </c>
      <c r="B8" s="10" t="s">
        <v>72</v>
      </c>
    </row>
    <row r="9" spans="1:9" x14ac:dyDescent="0.25">
      <c r="A9" t="s">
        <v>335</v>
      </c>
      <c r="B9" t="s">
        <v>267</v>
      </c>
    </row>
    <row r="10" spans="1:9" x14ac:dyDescent="0.25">
      <c r="A10" t="s">
        <v>268</v>
      </c>
      <c r="B10" t="s">
        <v>269</v>
      </c>
    </row>
    <row r="11" spans="1:9" x14ac:dyDescent="0.25">
      <c r="A11" t="s">
        <v>270</v>
      </c>
      <c r="B11" t="s">
        <v>271</v>
      </c>
    </row>
    <row r="12" spans="1:9" x14ac:dyDescent="0.25">
      <c r="A12" t="s">
        <v>272</v>
      </c>
      <c r="B12" t="s">
        <v>273</v>
      </c>
    </row>
    <row r="13" spans="1:9" x14ac:dyDescent="0.25">
      <c r="A13" t="s">
        <v>274</v>
      </c>
      <c r="B13" t="s">
        <v>275</v>
      </c>
    </row>
    <row r="14" spans="1:9" x14ac:dyDescent="0.25">
      <c r="A14" t="s">
        <v>276</v>
      </c>
      <c r="B14" t="s">
        <v>277</v>
      </c>
    </row>
    <row r="15" spans="1:9" x14ac:dyDescent="0.25">
      <c r="A15" t="s">
        <v>278</v>
      </c>
      <c r="B15" t="s">
        <v>279</v>
      </c>
    </row>
    <row r="16" spans="1:9" x14ac:dyDescent="0.25">
      <c r="A16" t="s">
        <v>280</v>
      </c>
      <c r="B16" t="s">
        <v>281</v>
      </c>
    </row>
    <row r="17" spans="1:2" x14ac:dyDescent="0.25">
      <c r="A17" t="s">
        <v>282</v>
      </c>
      <c r="B17" t="s">
        <v>283</v>
      </c>
    </row>
    <row r="18" spans="1:2" x14ac:dyDescent="0.25">
      <c r="A18" t="s">
        <v>284</v>
      </c>
      <c r="B18" t="s">
        <v>285</v>
      </c>
    </row>
    <row r="19" spans="1:2" x14ac:dyDescent="0.25">
      <c r="A19" t="s">
        <v>286</v>
      </c>
      <c r="B19" t="s">
        <v>287</v>
      </c>
    </row>
    <row r="20" spans="1:2" x14ac:dyDescent="0.25">
      <c r="A20" t="s">
        <v>288</v>
      </c>
      <c r="B20" t="s">
        <v>289</v>
      </c>
    </row>
    <row r="21" spans="1:2" x14ac:dyDescent="0.25">
      <c r="A21" t="s">
        <v>290</v>
      </c>
      <c r="B21" t="s">
        <v>291</v>
      </c>
    </row>
    <row r="22" spans="1:2" x14ac:dyDescent="0.25">
      <c r="A22" t="s">
        <v>292</v>
      </c>
      <c r="B22" t="s">
        <v>293</v>
      </c>
    </row>
    <row r="23" spans="1:2" x14ac:dyDescent="0.25">
      <c r="A23" t="s">
        <v>294</v>
      </c>
      <c r="B23" t="s">
        <v>295</v>
      </c>
    </row>
    <row r="24" spans="1:2" x14ac:dyDescent="0.25">
      <c r="A24" t="s">
        <v>296</v>
      </c>
      <c r="B24" t="s">
        <v>297</v>
      </c>
    </row>
    <row r="25" spans="1:2" x14ac:dyDescent="0.25">
      <c r="A25" t="s">
        <v>298</v>
      </c>
      <c r="B25" t="s">
        <v>299</v>
      </c>
    </row>
    <row r="26" spans="1:2" x14ac:dyDescent="0.25">
      <c r="A26" t="s">
        <v>300</v>
      </c>
      <c r="B26" t="s">
        <v>301</v>
      </c>
    </row>
    <row r="27" spans="1:2" x14ac:dyDescent="0.25">
      <c r="A27" t="s">
        <v>302</v>
      </c>
      <c r="B27" t="s">
        <v>303</v>
      </c>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4FA1-C73F-489A-81FE-D05CFCC34312}">
  <sheetPr>
    <tabColor theme="7" tint="0.59999389629810485"/>
  </sheetPr>
  <dimension ref="C1:S6"/>
  <sheetViews>
    <sheetView workbookViewId="0">
      <selection activeCell="C5" sqref="C5"/>
    </sheetView>
  </sheetViews>
  <sheetFormatPr defaultRowHeight="15" x14ac:dyDescent="0.25"/>
  <cols>
    <col min="3" max="3" width="18.42578125" customWidth="1"/>
    <col min="4" max="4" width="14.7109375" customWidth="1"/>
    <col min="5" max="5" width="10.28515625" bestFit="1" customWidth="1"/>
    <col min="6" max="6" width="11.28515625" bestFit="1" customWidth="1"/>
    <col min="18" max="18" width="15" bestFit="1" customWidth="1"/>
    <col min="19" max="19" width="16.28515625" bestFit="1" customWidth="1"/>
  </cols>
  <sheetData>
    <row r="1" spans="3:19" x14ac:dyDescent="0.25">
      <c r="R1" s="13" t="s">
        <v>329</v>
      </c>
      <c r="S1" s="13" t="s">
        <v>330</v>
      </c>
    </row>
    <row r="2" spans="3:19" x14ac:dyDescent="0.25">
      <c r="R2" s="14"/>
      <c r="S2" s="14" t="s">
        <v>37</v>
      </c>
    </row>
    <row r="3" spans="3:19" x14ac:dyDescent="0.25">
      <c r="R3" s="15" t="s">
        <v>304</v>
      </c>
      <c r="S3" s="15" t="s">
        <v>10</v>
      </c>
    </row>
    <row r="4" spans="3:19" x14ac:dyDescent="0.25">
      <c r="C4" s="13" t="s">
        <v>4</v>
      </c>
      <c r="D4" s="13" t="s">
        <v>309</v>
      </c>
      <c r="E4" s="13" t="s">
        <v>331</v>
      </c>
      <c r="F4" s="16" t="s">
        <v>8</v>
      </c>
      <c r="R4" s="15" t="s">
        <v>305</v>
      </c>
      <c r="S4" s="14" t="s">
        <v>20</v>
      </c>
    </row>
    <row r="5" spans="3:19" x14ac:dyDescent="0.25">
      <c r="C5" s="13" t="s">
        <v>10</v>
      </c>
      <c r="D5" s="13" t="s">
        <v>305</v>
      </c>
      <c r="E5" s="13">
        <f>COUNTIFS(Sales_Data_Analysis!I:I,Quick_Analysis!C5,Sales_Data_Analysis!H:H,Quick_Analysis!D5)</f>
        <v>2</v>
      </c>
      <c r="F5" s="17">
        <f>SUMIFS(Sales_Data_Analysis!M:M,Sales_Data_Analysis!H:H,Quick_Analysis!D5,Sales_Data_Analysis!I:I,Quick_Analysis!C5)</f>
        <v>1243</v>
      </c>
      <c r="R5" s="15" t="s">
        <v>306</v>
      </c>
      <c r="S5" s="15" t="s">
        <v>33</v>
      </c>
    </row>
    <row r="6" spans="3:19" x14ac:dyDescent="0.25">
      <c r="R6" s="13"/>
      <c r="S6" s="15" t="s">
        <v>15</v>
      </c>
    </row>
  </sheetData>
  <dataValidations count="2">
    <dataValidation type="list" allowBlank="1" showInputMessage="1" showErrorMessage="1" sqref="C5" xr:uid="{3C95A9E9-962B-4E04-B44D-5409228AC5D8}">
      <formula1>$S$2:$S$6</formula1>
    </dataValidation>
    <dataValidation type="list" allowBlank="1" showInputMessage="1" showErrorMessage="1" sqref="D5" xr:uid="{D9607AF5-F1EC-4A87-9FC6-E27D97FEDA6E}">
      <formula1>$R$3:$R$5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E7838-80EA-449B-BF3D-FAF26D57C18E}">
  <sheetPr>
    <tabColor theme="9" tint="0.59999389629810485"/>
  </sheetPr>
  <dimension ref="A4:B14"/>
  <sheetViews>
    <sheetView workbookViewId="0">
      <selection activeCell="A15" sqref="A15"/>
    </sheetView>
  </sheetViews>
  <sheetFormatPr defaultRowHeight="15" x14ac:dyDescent="0.25"/>
  <cols>
    <col min="1" max="1" width="13.140625" bestFit="1" customWidth="1"/>
    <col min="2" max="2" width="18.42578125" bestFit="1" customWidth="1"/>
    <col min="3" max="6" width="11.28515625" bestFit="1" customWidth="1"/>
    <col min="7" max="7" width="12.28515625" bestFit="1" customWidth="1"/>
    <col min="8" max="13" width="11.28515625" bestFit="1" customWidth="1"/>
    <col min="14" max="14" width="12.28515625" bestFit="1" customWidth="1"/>
    <col min="15" max="22" width="11.28515625" bestFit="1" customWidth="1"/>
    <col min="23" max="24" width="12.28515625" bestFit="1" customWidth="1"/>
  </cols>
  <sheetData>
    <row r="4" spans="1:2" x14ac:dyDescent="0.25">
      <c r="A4" s="23" t="s">
        <v>340</v>
      </c>
      <c r="B4" t="s">
        <v>338</v>
      </c>
    </row>
    <row r="5" spans="1:2" x14ac:dyDescent="0.25">
      <c r="A5" s="24">
        <v>2018</v>
      </c>
      <c r="B5" s="22">
        <v>14925</v>
      </c>
    </row>
    <row r="6" spans="1:2" x14ac:dyDescent="0.25">
      <c r="A6" s="25" t="s">
        <v>343</v>
      </c>
      <c r="B6" s="22">
        <v>6708</v>
      </c>
    </row>
    <row r="7" spans="1:2" x14ac:dyDescent="0.25">
      <c r="A7" s="25" t="s">
        <v>344</v>
      </c>
      <c r="B7" s="22">
        <v>3316</v>
      </c>
    </row>
    <row r="8" spans="1:2" x14ac:dyDescent="0.25">
      <c r="A8" s="25" t="s">
        <v>345</v>
      </c>
      <c r="B8" s="22">
        <v>3267</v>
      </c>
    </row>
    <row r="9" spans="1:2" x14ac:dyDescent="0.25">
      <c r="A9" s="25" t="s">
        <v>346</v>
      </c>
      <c r="B9" s="22">
        <v>1634</v>
      </c>
    </row>
    <row r="10" spans="1:2" x14ac:dyDescent="0.25">
      <c r="A10" s="24">
        <v>2019</v>
      </c>
      <c r="B10" s="22">
        <v>5660</v>
      </c>
    </row>
    <row r="11" spans="1:2" x14ac:dyDescent="0.25">
      <c r="A11" s="25" t="s">
        <v>343</v>
      </c>
      <c r="B11" s="22">
        <v>1457</v>
      </c>
    </row>
    <row r="12" spans="1:2" x14ac:dyDescent="0.25">
      <c r="A12" s="25" t="s">
        <v>344</v>
      </c>
      <c r="B12" s="22">
        <v>2193</v>
      </c>
    </row>
    <row r="13" spans="1:2" x14ac:dyDescent="0.25">
      <c r="A13" s="25" t="s">
        <v>345</v>
      </c>
      <c r="B13" s="22">
        <v>2010</v>
      </c>
    </row>
    <row r="14" spans="1:2" x14ac:dyDescent="0.25">
      <c r="A14" s="24" t="s">
        <v>339</v>
      </c>
      <c r="B14" s="22">
        <v>20585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6D3C-FD9A-48A1-9A4C-9C33F2178386}">
  <sheetPr>
    <tabColor theme="9" tint="0.59999389629810485"/>
  </sheetPr>
  <dimension ref="A3:B4"/>
  <sheetViews>
    <sheetView workbookViewId="0">
      <selection activeCell="D22" sqref="D22"/>
    </sheetView>
  </sheetViews>
  <sheetFormatPr defaultRowHeight="15" x14ac:dyDescent="0.25"/>
  <cols>
    <col min="1" max="1" width="13.140625" bestFit="1" customWidth="1"/>
    <col min="2" max="2" width="16.140625" bestFit="1" customWidth="1"/>
    <col min="3" max="3" width="11.28515625" bestFit="1" customWidth="1"/>
    <col min="4" max="4" width="14.5703125" bestFit="1" customWidth="1"/>
    <col min="5" max="6" width="11.28515625" bestFit="1" customWidth="1"/>
    <col min="7" max="7" width="12.28515625" bestFit="1" customWidth="1"/>
  </cols>
  <sheetData>
    <row r="3" spans="1:2" x14ac:dyDescent="0.25">
      <c r="A3" s="23" t="s">
        <v>340</v>
      </c>
      <c r="B3" t="s">
        <v>347</v>
      </c>
    </row>
    <row r="4" spans="1:2" x14ac:dyDescent="0.25">
      <c r="A4" s="24" t="s">
        <v>37</v>
      </c>
      <c r="B4" s="22">
        <v>674.86956521739125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4432CC-58F4-433D-A041-875B82BF6C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Sales_Data_Analysis</vt:lpstr>
      <vt:lpstr>Reference_Tables</vt:lpstr>
      <vt:lpstr>Quick_Analysis</vt:lpstr>
      <vt:lpstr>Pivot_Table_Gross_Sales_By_Date</vt:lpstr>
      <vt:lpstr>Pivot_Table_Average_Profit_Per_</vt:lpstr>
      <vt:lpstr>Commision_Tiers</vt:lpstr>
      <vt:lpstr>Managers</vt:lpstr>
      <vt:lpstr>Managers_Table</vt:lpstr>
      <vt:lpstr>Orders</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Kacper Cichy</dc:creator>
  <cp:lastModifiedBy>Kacper Cichy</cp:lastModifiedBy>
  <dcterms:created xsi:type="dcterms:W3CDTF">2026-07-24T05:13:45Z</dcterms:created>
  <dcterms:modified xsi:type="dcterms:W3CDTF">2026-07-24T06:45:16Z</dcterms:modified>
</cp:coreProperties>
</file>