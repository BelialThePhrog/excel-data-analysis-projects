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kacpe\OneDrive\Desktop\EXCEL\project_3\"/>
    </mc:Choice>
  </mc:AlternateContent>
  <xr:revisionPtr revIDLastSave="0" documentId="13_ncr:1_{C43DAAC2-DEED-427F-88D1-97929511E77E}" xr6:coauthVersionLast="47" xr6:coauthVersionMax="47" xr10:uidLastSave="{00000000-0000-0000-0000-000000000000}"/>
  <bookViews>
    <workbookView xWindow="-120" yWindow="-120" windowWidth="38640" windowHeight="21120" xr2:uid="{2B2B360D-962C-42B7-B85D-2ECB78CAEB22}"/>
  </bookViews>
  <sheets>
    <sheet name="Main" sheetId="2" r:id="rId1"/>
    <sheet name="Form Controll" sheetId="4" r:id="rId2"/>
    <sheet name="Directories" sheetId="1" r:id="rId3"/>
    <sheet name="Two-Way INDEX" sheetId="3" r:id="rId4"/>
  </sheets>
  <functionGroups builtInGroupCount="19"/>
  <definedNames>
    <definedName name="_xlnm._FilterDatabase" localSheetId="0" hidden="1">Main!$L$113:$N$114</definedName>
    <definedName name="Category">Table3[[#All],[Category]]</definedName>
    <definedName name="_xlnm.Criteria" localSheetId="0">Main!$L$113:$N$114</definedName>
    <definedName name="ExternalData_1" localSheetId="0" hidden="1">Main!$A$1:$K$110</definedName>
    <definedName name="NativeTimeline_Order_Date">#N/A</definedName>
    <definedName name="Sales_Rep">Table2[[#All],[Sales_Rep]]</definedName>
    <definedName name="Slicer_Category">#N/A</definedName>
  </definedNames>
  <calcPr calcId="191029"/>
  <pivotCaches>
    <pivotCache cacheId="4"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4" i="4" l="1"/>
  <c r="N6" i="4" s="1"/>
  <c r="C22" i="4"/>
  <c r="N16" i="2"/>
  <c r="N17" i="2"/>
  <c r="N21" i="2"/>
  <c r="N22" i="2"/>
  <c r="N25" i="2"/>
  <c r="N26" i="2"/>
  <c r="N29" i="2"/>
  <c r="N44" i="2"/>
  <c r="N57" i="2"/>
  <c r="N72" i="2"/>
  <c r="N73" i="2"/>
  <c r="N77" i="2"/>
  <c r="N78" i="2"/>
  <c r="N79" i="2"/>
  <c r="N80" i="2"/>
  <c r="N81" i="2"/>
  <c r="N82" i="2"/>
  <c r="N83" i="2"/>
  <c r="N84" i="2"/>
  <c r="N100" i="2"/>
  <c r="N101" i="2"/>
  <c r="N105" i="2"/>
  <c r="N108" i="2"/>
  <c r="N109" i="2"/>
  <c r="N2" i="2"/>
  <c r="N3" i="2"/>
  <c r="N4" i="2"/>
  <c r="N5" i="2"/>
  <c r="N6" i="2"/>
  <c r="N7" i="2"/>
  <c r="N8" i="2"/>
  <c r="N9" i="2"/>
  <c r="N10" i="2"/>
  <c r="N11" i="2"/>
  <c r="N12" i="2"/>
  <c r="N13" i="2"/>
  <c r="N14" i="2"/>
  <c r="N15" i="2"/>
  <c r="N18" i="2"/>
  <c r="N19" i="2"/>
  <c r="N20" i="2"/>
  <c r="N23" i="2"/>
  <c r="N24" i="2"/>
  <c r="N27" i="2"/>
  <c r="N28" i="2"/>
  <c r="N30" i="2"/>
  <c r="N31" i="2"/>
  <c r="N32" i="2"/>
  <c r="N33" i="2"/>
  <c r="N34" i="2"/>
  <c r="N35" i="2"/>
  <c r="N36" i="2"/>
  <c r="N37" i="2"/>
  <c r="N38" i="2"/>
  <c r="N39" i="2"/>
  <c r="N40" i="2"/>
  <c r="N41" i="2"/>
  <c r="N42" i="2"/>
  <c r="N43" i="2"/>
  <c r="N45" i="2"/>
  <c r="N46" i="2"/>
  <c r="N47" i="2"/>
  <c r="N48" i="2"/>
  <c r="N49" i="2"/>
  <c r="N50" i="2"/>
  <c r="N51" i="2"/>
  <c r="N52" i="2"/>
  <c r="N53" i="2"/>
  <c r="N54" i="2"/>
  <c r="N55" i="2"/>
  <c r="N56" i="2"/>
  <c r="N58" i="2"/>
  <c r="N59" i="2"/>
  <c r="N60" i="2"/>
  <c r="N61" i="2"/>
  <c r="N62" i="2"/>
  <c r="N63" i="2"/>
  <c r="N64" i="2"/>
  <c r="N65" i="2"/>
  <c r="N66" i="2"/>
  <c r="N67" i="2"/>
  <c r="N68" i="2"/>
  <c r="N69" i="2"/>
  <c r="N70" i="2"/>
  <c r="N71" i="2"/>
  <c r="N74" i="2"/>
  <c r="N75" i="2"/>
  <c r="N76" i="2"/>
  <c r="N85" i="2"/>
  <c r="N86" i="2"/>
  <c r="N87" i="2"/>
  <c r="N88" i="2"/>
  <c r="N89" i="2"/>
  <c r="N90" i="2"/>
  <c r="N91" i="2"/>
  <c r="N92" i="2"/>
  <c r="N93" i="2"/>
  <c r="N94" i="2"/>
  <c r="N95" i="2"/>
  <c r="N96" i="2"/>
  <c r="N97" i="2"/>
  <c r="N98" i="2"/>
  <c r="N99" i="2"/>
  <c r="N102" i="2"/>
  <c r="N103" i="2"/>
  <c r="N104" i="2"/>
  <c r="N106" i="2"/>
  <c r="N107" i="2"/>
  <c r="N110" i="2"/>
  <c r="P3" i="2" a="1"/>
  <c r="P3" i="2" s="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E17" i="1"/>
  <c r="E31" i="1"/>
  <c r="E45" i="1"/>
  <c r="E59" i="1"/>
  <c r="E73" i="1"/>
  <c r="E87" i="1"/>
  <c r="E101" i="1"/>
  <c r="E115" i="1"/>
  <c r="E129" i="1"/>
  <c r="E143" i="1"/>
  <c r="E157" i="1"/>
  <c r="E171" i="1"/>
  <c r="E185" i="1"/>
  <c r="E199" i="1"/>
  <c r="E213" i="1"/>
  <c r="E227" i="1"/>
  <c r="E241" i="1"/>
  <c r="E255" i="1"/>
  <c r="E269" i="1"/>
  <c r="E283" i="1"/>
  <c r="E297" i="1"/>
  <c r="E311" i="1"/>
  <c r="E325" i="1"/>
  <c r="E339" i="1"/>
  <c r="E353" i="1"/>
  <c r="E367" i="1"/>
  <c r="E381" i="1"/>
  <c r="E395" i="1"/>
  <c r="E409" i="1"/>
  <c r="E423" i="1"/>
  <c r="E437" i="1"/>
  <c r="E451" i="1"/>
  <c r="E3" i="1"/>
  <c r="K29" i="3"/>
  <c r="D10" i="4"/>
  <c r="D13" i="4"/>
  <c r="D16" i="4"/>
  <c r="D18" i="4"/>
  <c r="D20" i="4"/>
  <c r="D11" i="4"/>
  <c r="D12" i="4"/>
  <c r="D14" i="4"/>
  <c r="D19" i="4"/>
  <c r="D15" i="4"/>
  <c r="D17" i="4"/>
  <c r="D9" i="4"/>
  <c r="L2" i="2"/>
  <c r="L30" i="2"/>
  <c r="L58" i="2"/>
  <c r="L86" i="2"/>
  <c r="L33" i="2"/>
  <c r="L62" i="2"/>
  <c r="L90" i="2"/>
  <c r="L7" i="2"/>
  <c r="L64" i="2"/>
  <c r="L92" i="2"/>
  <c r="L9" i="2"/>
  <c r="L10" i="2"/>
  <c r="L57" i="2"/>
  <c r="L3" i="2"/>
  <c r="L31" i="2"/>
  <c r="L59" i="2"/>
  <c r="L87" i="2"/>
  <c r="L61" i="2"/>
  <c r="L89" i="2"/>
  <c r="L6" i="2"/>
  <c r="L63" i="2"/>
  <c r="L36" i="2"/>
  <c r="L37" i="2"/>
  <c r="L93" i="2"/>
  <c r="L38" i="2"/>
  <c r="L84" i="2"/>
  <c r="L4" i="2"/>
  <c r="L32" i="2"/>
  <c r="L60" i="2"/>
  <c r="L88" i="2"/>
  <c r="L5" i="2"/>
  <c r="L34" i="2"/>
  <c r="L35" i="2"/>
  <c r="L91" i="2"/>
  <c r="L8" i="2"/>
  <c r="L65" i="2"/>
  <c r="L66" i="2"/>
  <c r="L94" i="2"/>
  <c r="L56" i="2"/>
  <c r="L11" i="2"/>
  <c r="L39" i="2"/>
  <c r="L67" i="2"/>
  <c r="L95" i="2"/>
  <c r="L40" i="2"/>
  <c r="L68" i="2"/>
  <c r="L96" i="2"/>
  <c r="L13" i="2"/>
  <c r="L41" i="2"/>
  <c r="L69" i="2"/>
  <c r="L97" i="2"/>
  <c r="L51" i="2"/>
  <c r="L54" i="2"/>
  <c r="L12" i="2"/>
  <c r="L14" i="2"/>
  <c r="L42" i="2"/>
  <c r="L70" i="2"/>
  <c r="L98" i="2"/>
  <c r="L50" i="2"/>
  <c r="L52" i="2"/>
  <c r="L15" i="2"/>
  <c r="L43" i="2"/>
  <c r="L71" i="2"/>
  <c r="L99" i="2"/>
  <c r="L16" i="2"/>
  <c r="L44" i="2"/>
  <c r="L72" i="2"/>
  <c r="L100" i="2"/>
  <c r="L17" i="2"/>
  <c r="L45" i="2"/>
  <c r="L73" i="2"/>
  <c r="L101" i="2"/>
  <c r="L78" i="2"/>
  <c r="L80" i="2"/>
  <c r="L55" i="2"/>
  <c r="L85" i="2"/>
  <c r="L18" i="2"/>
  <c r="L46" i="2"/>
  <c r="L74" i="2"/>
  <c r="L102" i="2"/>
  <c r="L19" i="2"/>
  <c r="L47" i="2"/>
  <c r="L75" i="2"/>
  <c r="L103" i="2"/>
  <c r="L20" i="2"/>
  <c r="L48" i="2"/>
  <c r="L76" i="2"/>
  <c r="L104" i="2"/>
  <c r="L21" i="2"/>
  <c r="L49" i="2"/>
  <c r="L77" i="2"/>
  <c r="L105" i="2"/>
  <c r="L22" i="2"/>
  <c r="L106" i="2"/>
  <c r="L23" i="2"/>
  <c r="L79" i="2"/>
  <c r="L107" i="2"/>
  <c r="L24" i="2"/>
  <c r="L108" i="2"/>
  <c r="L25" i="2"/>
  <c r="L53" i="2"/>
  <c r="L81" i="2"/>
  <c r="L109" i="2"/>
  <c r="L26" i="2"/>
  <c r="L82" i="2"/>
  <c r="L110" i="2"/>
  <c r="L27" i="2"/>
  <c r="L83" i="2"/>
  <c r="L28" i="2"/>
  <c r="L29" i="2"/>
  <c r="D22" i="4" l="1"/>
  <c r="I11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8B8F7B6-68F0-4D88-9E8E-19AD66E470E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93D2922E-8C4C-4D75-9106-BB62472BCFD8}" keepAlive="1" name="Query - project_3" description="Connection to the 'project_3' query in the workbook." type="5" refreshedVersion="8" background="1" saveData="1">
    <dbPr connection="Provider=Microsoft.Mashup.OleDb.1;Data Source=$Workbook$;Location=project_3;Extended Properties=&quot;&quot;" command="SELECT * FROM [project_3]"/>
  </connection>
  <connection id="3" xr16:uid="{CA2D7E22-673E-4C79-A8A4-D39B715FCC9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E4AB3AC1-5076-44BD-BA9A-4C134D693B3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7CA87A98-F1C0-47DD-9536-27C93DF421E3}"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<sst xmlns="http://schemas.openxmlformats.org/spreadsheetml/2006/main" count="651" uniqueCount="178">
  <si>
    <t>Order_ID</t>
  </si>
  <si>
    <t>Order_Date</t>
  </si>
  <si>
    <t>Sales_Rep</t>
  </si>
  <si>
    <t>Region</t>
  </si>
  <si>
    <t>Category</t>
  </si>
  <si>
    <t>Product</t>
  </si>
  <si>
    <t>Gross_Sales</t>
  </si>
  <si>
    <t>Cost</t>
  </si>
  <si>
    <t>Manager_Rating_Index</t>
  </si>
  <si>
    <t>ORD-1001</t>
  </si>
  <si>
    <t>Pam Beesly</t>
  </si>
  <si>
    <t>North</t>
  </si>
  <si>
    <t>Hardware</t>
  </si>
  <si>
    <t>Server Rack</t>
  </si>
  <si>
    <t>ORD-1002</t>
  </si>
  <si>
    <t>Jane Smith</t>
  </si>
  <si>
    <t>Consulting</t>
  </si>
  <si>
    <t>Strategy Plan</t>
  </si>
  <si>
    <t>ORD-1003</t>
  </si>
  <si>
    <t>John Doe</t>
  </si>
  <si>
    <t>IT</t>
  </si>
  <si>
    <t>Network Setup</t>
  </si>
  <si>
    <t>ORD-1004</t>
  </si>
  <si>
    <t>East</t>
  </si>
  <si>
    <t>Software</t>
  </si>
  <si>
    <t>Cloud License</t>
  </si>
  <si>
    <t>ORD-1005</t>
  </si>
  <si>
    <t>Jim Halpert</t>
  </si>
  <si>
    <t>Risk Assessment</t>
  </si>
  <si>
    <t>ORD-1006</t>
  </si>
  <si>
    <t>West</t>
  </si>
  <si>
    <t>ORD-1007</t>
  </si>
  <si>
    <t>ORD-1008</t>
  </si>
  <si>
    <t>ORD-1009</t>
  </si>
  <si>
    <t>ORD-1010</t>
  </si>
  <si>
    <t>ORD-1011</t>
  </si>
  <si>
    <t>Training</t>
  </si>
  <si>
    <t>Webinar</t>
  </si>
  <si>
    <t>ORD-1012</t>
  </si>
  <si>
    <t>Michael Scott</t>
  </si>
  <si>
    <t>South</t>
  </si>
  <si>
    <t>Laptop Pro</t>
  </si>
  <si>
    <t>ORD-1013</t>
  </si>
  <si>
    <t>ORD-1014</t>
  </si>
  <si>
    <t>ORD-1015</t>
  </si>
  <si>
    <t>ERP System</t>
  </si>
  <si>
    <t>ORD-1016</t>
  </si>
  <si>
    <t>ORD-1017</t>
  </si>
  <si>
    <t>ORD-1018</t>
  </si>
  <si>
    <t>ORD-1019</t>
  </si>
  <si>
    <t>ORD-1020</t>
  </si>
  <si>
    <t>ORD-1021</t>
  </si>
  <si>
    <t>ORD-1022</t>
  </si>
  <si>
    <t>ORD-1023</t>
  </si>
  <si>
    <t>ORD-1024</t>
  </si>
  <si>
    <t>ORD-1025</t>
  </si>
  <si>
    <t>Security Audit</t>
  </si>
  <si>
    <t>ORD-1026</t>
  </si>
  <si>
    <t>ORD-1027</t>
  </si>
  <si>
    <t>ORD-1028</t>
  </si>
  <si>
    <t>Desktop PC</t>
  </si>
  <si>
    <t>ORD-1029</t>
  </si>
  <si>
    <t>ORD-1030</t>
  </si>
  <si>
    <t>ORD-1031</t>
  </si>
  <si>
    <t>On-site Training</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</si>
  <si>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</si>
  <si>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</si>
  <si>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</si>
  <si>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</si>
  <si>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</si>
  <si>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</si>
  <si>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</si>
  <si>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</si>
  <si>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</si>
  <si>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</si>
  <si>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</si>
  <si>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</si>
  <si>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</si>
  <si>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</si>
  <si>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</si>
  <si>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</si>
  <si>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</si>
  <si>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</si>
  <si>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</si>
  <si>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</si>
  <si>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</si>
  <si>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</si>
  <si>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</si>
  <si>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</si>
  <si>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</si>
  <si>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</si>
  <si>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</si>
  <si>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</si>
  <si>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</si>
  <si>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</si>
  <si>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</si>
  <si>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</si>
  <si>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</si>
  <si>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</si>
  <si>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</si>
  <si>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</si>
  <si>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</si>
  <si>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</si>
  <si>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</si>
  <si>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</si>
  <si>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</si>
  <si>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</si>
  <si>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</si>
  <si>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</si>
  <si>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</si>
  <si>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</si>
  <si>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</si>
  <si>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</si>
  <si>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</si>
  <si>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</si>
  <si>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</si>
  <si>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</si>
  <si>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</si>
  <si>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</si>
  <si>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</si>
  <si>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</si>
  <si>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</si>
  <si>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</si>
  <si>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</si>
  <si>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</si>
  <si>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</si>
  <si>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</si>
  <si>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</si>
  <si>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</si>
  <si>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</si>
  <si>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</si>
  <si>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</si>
  <si>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</si>
  <si>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</si>
  <si>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</si>
  <si>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</si>
  <si>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</si>
  <si>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</si>
  <si>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</si>
  <si>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</si>
  <si>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</si>
  <si>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</si>
  <si>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</si>
  <si>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Category:</t>
  </si>
  <si>
    <t>Column Labels</t>
  </si>
  <si>
    <t>Grand Total</t>
  </si>
  <si>
    <t>Row Labels</t>
  </si>
  <si>
    <t>sty</t>
  </si>
  <si>
    <t>lut</t>
  </si>
  <si>
    <t>mar</t>
  </si>
  <si>
    <t>kwi</t>
  </si>
  <si>
    <t>maj</t>
  </si>
  <si>
    <t>cze</t>
  </si>
  <si>
    <t>lip</t>
  </si>
  <si>
    <t>sie</t>
  </si>
  <si>
    <t>wrz</t>
  </si>
  <si>
    <t>paź</t>
  </si>
  <si>
    <t>lis</t>
  </si>
  <si>
    <t>gru</t>
  </si>
  <si>
    <t>Sum of Gross_Sales</t>
  </si>
  <si>
    <t>Month:</t>
  </si>
  <si>
    <t>Result:</t>
  </si>
  <si>
    <t>Creating Series</t>
  </si>
  <si>
    <t>Commission rate</t>
  </si>
  <si>
    <t>Net_commision</t>
  </si>
  <si>
    <t>Ranking</t>
  </si>
  <si>
    <t>Average:</t>
  </si>
  <si>
    <t>Most Frequent Gross Sales:</t>
  </si>
  <si>
    <t>Rating</t>
  </si>
  <si>
    <t>Ratings</t>
  </si>
  <si>
    <t>Bad</t>
  </si>
  <si>
    <t>Mediocare</t>
  </si>
  <si>
    <t>Good</t>
  </si>
  <si>
    <t>Excellent</t>
  </si>
  <si>
    <t>Tragic</t>
  </si>
  <si>
    <t>Client Rating</t>
  </si>
  <si>
    <t>Months</t>
  </si>
  <si>
    <t>Gross Sales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</si>
</sst>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0.00\ &quot;zł&quot;_-;\-* #,##0.00\ &quot;zł&quot;_-;_-* &quot;-&quot;??\ &quot;zł&quot;_-;_-@_-"/>
    <numFmt numFmtId="165" formatCode="0.0%"/>
  </numFmts>
  <fonts count="6" x14ac:knownFonts="1">
    <font>
      <sz val="11"/>
      <color theme="1"/>
      <name val="Calibri"/>
      <family val="2"/>
      <charset val="238"/>
      <scheme val="minor"/>
    </font>
    <font>
      <sz val="11"/>
      <color theme="1"/>
      <name val="Calibri"/>
      <family val="2"/>
      <charset val="238"/>
      <scheme val="minor"/>
    </font>
    <font>
      <b/>
      <sz val="11"/>
      <color theme="0"/>
      <name val="Calibri"/>
      <family val="2"/>
      <charset val="238"/>
      <scheme val="minor"/>
    </font>
    <font>
      <b/>
      <sz val="11"/>
      <color theme="1"/>
      <name val="Calibri"/>
      <family val="2"/>
      <charset val="238"/>
      <scheme val="minor"/>
    </font>
    <font>
      <sz val="11"/>
      <color theme="0"/>
      <name val="Calibri"/>
      <family val="2"/>
      <charset val="238"/>
      <scheme val="minor"/>
    </font>
    <font>
      <sz val="8"/>
      <name val="Segoe UI"/>
      <family val="2"/>
    </font>
  </fonts>
  <fills count="4">
    <fill>
      <patternFill patternType="none"/>
    </fill>
    <fill>
      <patternFill patternType="gray125"/>
    </fill>
    <fill>
      <patternFill patternType="solid">
        <fgColor theme="9"/>
        <bgColor theme="9"/>
      </patternFill>
    </fill>
    <fill>
      <patternFill patternType="solid">
        <fgColor theme="4" tint="0.79998168889431442"/>
        <bgColor theme="4" tint="0.79998168889431442"/>
      </patternFill>
    </fill>
  </fills>
  <borders count="4">
    <border>
      <left/>
      <right/>
      <top/>
      <bottom/>
      <diagonal/>
    </border>
    <border>
      <left/>
      <right/>
      <top style="thin">
        <color theme="9" tint="0.39997558519241921"/>
      </top>
      <bottom style="thin">
        <color theme="9" tint="0.39997558519241921"/>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6">
    <xf numFmtId="0" fontId="0" fillId="0" borderId="0" xfId="0"/>
    <xf numFmtId="0" fontId="0" fillId="0" borderId="0" xfId="0" applyNumberFormat="1"/>
    <xf numFmtId="14" fontId="0" fillId="0" borderId="0" xfId="0" applyNumberFormat="1"/>
    <xf numFmtId="0" fontId="2" fillId="2" borderId="1" xfId="0" applyFont="1" applyFill="1" applyBorder="1"/>
    <xf numFmtId="0" fontId="0" fillId="0" borderId="0" xfId="0" pivotButton="1"/>
    <xf numFmtId="0" fontId="3" fillId="3" borderId="2" xfId="0" applyFont="1" applyFill="1" applyBorder="1"/>
    <xf numFmtId="0" fontId="0" fillId="0" borderId="0" xfId="0" applyAlignment="1">
      <alignment horizontal="left"/>
    </xf>
    <xf numFmtId="44" fontId="0" fillId="0" borderId="0" xfId="0" applyNumberFormat="1"/>
    <xf numFmtId="44" fontId="0" fillId="0" borderId="0" xfId="1" applyFont="1"/>
    <xf numFmtId="165" fontId="0" fillId="0" borderId="0" xfId="2" applyNumberFormat="1" applyFont="1"/>
    <xf numFmtId="44" fontId="2" fillId="2" borderId="1" xfId="1" applyFont="1" applyFill="1" applyBorder="1"/>
    <xf numFmtId="0" fontId="0" fillId="0" borderId="0" xfId="1" applyNumberFormat="1" applyFont="1"/>
    <xf numFmtId="0" fontId="4" fillId="0" borderId="0" xfId="0" applyFont="1"/>
    <xf numFmtId="0" fontId="0" fillId="0" borderId="3" xfId="0" applyBorder="1"/>
    <xf numFmtId="44" fontId="0" fillId="0" borderId="3" xfId="1" applyFont="1" applyBorder="1"/>
    <xf numFmtId="0" fontId="0" fillId="0" borderId="3" xfId="0" applyBorder="1" applyAlignment="1">
      <alignment horizontal="left"/>
    </xf>
  </cellXfs>
  <cellStyles count="3">
    <cellStyle name="Currency" xfId="1" builtinId="4"/>
    <cellStyle name="Normal" xfId="0" builtinId="0"/>
    <cellStyle name="Percent" xfId="2" builtinId="5"/>
  </cellStyles>
  <dxfs count="12">
    <dxf>
      <font>
        <b val="0"/>
        <i val="0"/>
        <strike val="0"/>
        <condense val="0"/>
        <extend val="0"/>
        <outline val="0"/>
        <shadow val="0"/>
        <u val="none"/>
        <vertAlign val="baseline"/>
        <sz val="11"/>
        <color theme="1"/>
        <name val="Calibri"/>
        <family val="2"/>
        <charset val="238"/>
        <scheme val="minor"/>
      </font>
      <numFmt numFmtId="0" formatCode="General"/>
    </dxf>
    <dxf>
      <numFmt numFmtId="0" formatCode="General"/>
    </dxf>
    <dxf>
      <font>
        <b val="0"/>
        <i val="0"/>
        <strike val="0"/>
        <condense val="0"/>
        <extend val="0"/>
        <outline val="0"/>
        <shadow val="0"/>
        <u val="none"/>
        <vertAlign val="baseline"/>
        <sz val="11"/>
        <color theme="1"/>
        <name val="Calibri"/>
        <family val="2"/>
        <charset val="238"/>
        <scheme val="minor"/>
      </font>
      <numFmt numFmtId="0" formatCode="General"/>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'Form Controll'!$N$6</c:f>
          <c:strCache>
            <c:ptCount val="1"/>
            <c:pt idx="0">
              <c:v>Gross Sales for: Training</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'Form Controll'!$C$9:$C$20</c:f>
              <c:strCache>
                <c:ptCount val="12"/>
                <c:pt idx="0">
                  <c:v>sty</c:v>
                </c:pt>
                <c:pt idx="1">
                  <c:v>lut</c:v>
                </c:pt>
                <c:pt idx="2">
                  <c:v>mar</c:v>
                </c:pt>
                <c:pt idx="3">
                  <c:v>kwi</c:v>
                </c:pt>
                <c:pt idx="4">
                  <c:v>maj</c:v>
                </c:pt>
                <c:pt idx="5">
                  <c:v>cze</c:v>
                </c:pt>
                <c:pt idx="6">
                  <c:v>lip</c:v>
                </c:pt>
                <c:pt idx="7">
                  <c:v>sie</c:v>
                </c:pt>
                <c:pt idx="8">
                  <c:v>wrz</c:v>
                </c:pt>
                <c:pt idx="9">
                  <c:v>paź</c:v>
                </c:pt>
                <c:pt idx="10">
                  <c:v>lis</c:v>
                </c:pt>
                <c:pt idx="11">
                  <c:v>gru</c:v>
                </c:pt>
              </c:strCache>
            </c:strRef>
          </c:cat>
          <c:val>
            <c:numRef>
              <c:f>'Form Controll'!$D$9:$D$20</c:f>
              <c:numCache>
                <c:formatCode>_("zł"* #,##0.00_);_("zł"* \(#,##0.00\);_("zł"* "-"??_);_(@_)</c:formatCode>
                <c:ptCount val="12"/>
                <c:pt idx="0">
                  <c:v>89600</c:v>
                </c:pt>
                <c:pt idx="1">
                  <c:v>127200</c:v>
                </c:pt>
                <c:pt idx="2">
                  <c:v>133700</c:v>
                </c:pt>
                <c:pt idx="3">
                  <c:v>0</c:v>
                </c:pt>
                <c:pt idx="4">
                  <c:v>346200</c:v>
                </c:pt>
                <c:pt idx="5">
                  <c:v>68100</c:v>
                </c:pt>
                <c:pt idx="6">
                  <c:v>0</c:v>
                </c:pt>
                <c:pt idx="7">
                  <c:v>115900</c:v>
                </c:pt>
                <c:pt idx="8">
                  <c:v>40100</c:v>
                </c:pt>
                <c:pt idx="9">
                  <c:v>63600</c:v>
                </c:pt>
                <c:pt idx="10">
                  <c:v>114400</c:v>
                </c:pt>
                <c:pt idx="11">
                  <c:v>0</c:v>
                </c:pt>
              </c:numCache>
            </c:numRef>
          </c:val>
          <c:smooth val="0"/>
          <c:extLst>
            <c:ext xmlns:c16="http://schemas.microsoft.com/office/drawing/2014/chart" uri="{C3380CC4-5D6E-409C-BE32-E72D297353CC}">
              <c16:uniqueId val="{00000000-3E15-410A-A9CB-98121BC463ED}"/>
            </c:ext>
          </c:extLst>
        </c:ser>
        <c:dLbls>
          <c:dLblPos val="r"/>
          <c:showLegendKey val="0"/>
          <c:showVal val="1"/>
          <c:showCatName val="0"/>
          <c:showSerName val="0"/>
          <c:showPercent val="0"/>
          <c:showBubbleSize val="0"/>
        </c:dLbls>
        <c:smooth val="0"/>
        <c:axId val="1082416159"/>
        <c:axId val="1082416639"/>
      </c:lineChart>
      <c:catAx>
        <c:axId val="108241615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2416639"/>
        <c:crosses val="autoZero"/>
        <c:auto val="1"/>
        <c:lblAlgn val="ctr"/>
        <c:lblOffset val="100"/>
        <c:noMultiLvlLbl val="0"/>
      </c:catAx>
      <c:valAx>
        <c:axId val="1082416639"/>
        <c:scaling>
          <c:orientation val="minMax"/>
        </c:scaling>
        <c:delete val="0"/>
        <c:axPos val="l"/>
        <c:majorGridlines>
          <c:spPr>
            <a:ln w="9525" cap="flat" cmpd="sng" algn="ctr">
              <a:solidFill>
                <a:schemeClr val="lt1">
                  <a:lumMod val="95000"/>
                  <a:alpha val="10000"/>
                </a:schemeClr>
              </a:solidFill>
              <a:round/>
            </a:ln>
            <a:effectLst/>
          </c:spPr>
        </c:majorGridlines>
        <c:numFmt formatCode="_(&quot;zł&quot;* #,##0.00_);_(&quot;zł&quot;* \(#,##0.00\);_(&quot;zł&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2416159"/>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Style="combo" dx="22" fmlaLink="'Form Controll'!$H$4" fmlaRange="Directories!$C$4:$C$8" noThreeD="1" sel="5" val="0"/>
</file>

<file path=xl/ctrlProps/ctrlProp2.xml><?xml version="1.0" encoding="utf-8"?>
<formControlPr xmlns="http://schemas.microsoft.com/office/spreadsheetml/2009/9/main" objectType="CheckBox" checked="Checked" fmlaLink="$J$3"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600074</xdr:colOff>
          <xdr:row>5</xdr:row>
          <xdr:rowOff>161925</xdr:rowOff>
        </xdr:from>
        <xdr:to>
          <xdr:col>4</xdr:col>
          <xdr:colOff>190499</xdr:colOff>
          <xdr:row>6</xdr:row>
          <xdr:rowOff>180975</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3</xdr:row>
          <xdr:rowOff>171450</xdr:rowOff>
        </xdr:from>
        <xdr:to>
          <xdr:col>3</xdr:col>
          <xdr:colOff>762000</xdr:colOff>
          <xdr:row>5</xdr:row>
          <xdr:rowOff>142875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Are you a manager?</a:t>
              </a:r>
            </a:p>
          </xdr:txBody>
        </xdr:sp>
        <xdr:clientData/>
      </xdr:twoCellAnchor>
    </mc:Choice>
    <mc:Fallback/>
  </mc:AlternateContent>
  <xdr:twoCellAnchor>
    <xdr:from>
      <xdr:col>5</xdr:col>
      <xdr:colOff>0</xdr:colOff>
      <xdr:row>3</xdr:row>
      <xdr:rowOff>185737</xdr:rowOff>
    </xdr:from>
    <xdr:to>
      <xdr:col>16</xdr:col>
      <xdr:colOff>0</xdr:colOff>
      <xdr:row>24</xdr:row>
      <xdr:rowOff>9525</xdr:rowOff>
    </xdr:to>
    <xdr:graphicFrame macro="">
      <xdr:nvGraphicFramePr>
        <xdr:cNvPr id="2" name="Chart 1">
          <a:extLst>
            <a:ext uri="{FF2B5EF4-FFF2-40B4-BE49-F238E27FC236}">
              <a16:creationId xmlns:a16="http://schemas.microsoft.com/office/drawing/2014/main" id="{267AFA96-D9B7-9920-A950-22EFCE892D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9525</xdr:colOff>
      <xdr:row>41</xdr:row>
      <xdr:rowOff>19051</xdr:rowOff>
    </xdr:from>
    <xdr:to>
      <xdr:col>9</xdr:col>
      <xdr:colOff>333375</xdr:colOff>
      <xdr:row>43</xdr:row>
      <xdr:rowOff>57150</xdr:rowOff>
    </xdr:to>
    <mc:AlternateContent xmlns:mc="http://schemas.openxmlformats.org/markup-compatibility/2006">
      <mc:Choice xmlns:a14="http://schemas.microsoft.com/office/drawing/2010/main" Requires="a14">
        <xdr:graphicFrame macro="">
          <xdr:nvGraphicFramePr>
            <xdr:cNvPr id="2" name="Category">
              <a:extLst>
                <a:ext uri="{FF2B5EF4-FFF2-40B4-BE49-F238E27FC236}">
                  <a16:creationId xmlns:a16="http://schemas.microsoft.com/office/drawing/2014/main" id="{D58B9B07-53B6-0E21-04F1-133B0E3A240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210050" y="7829551"/>
              <a:ext cx="451485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66674</xdr:colOff>
      <xdr:row>44</xdr:row>
      <xdr:rowOff>9525</xdr:rowOff>
    </xdr:from>
    <xdr:to>
      <xdr:col>8</xdr:col>
      <xdr:colOff>200025</xdr:colOff>
      <xdr:row>51</xdr:row>
      <xdr:rowOff>66675</xdr:rowOff>
    </xdr:to>
    <mc:AlternateContent xmlns:mc="http://schemas.openxmlformats.org/markup-compatibility/2006">
      <mc:Choice xmlns:tsle="http://schemas.microsoft.com/office/drawing/2012/timeslicer" Requires="tsle">
        <xdr:graphicFrame macro="">
          <xdr:nvGraphicFramePr>
            <xdr:cNvPr id="3" name="Order_Date">
              <a:extLst>
                <a:ext uri="{FF2B5EF4-FFF2-40B4-BE49-F238E27FC236}">
                  <a16:creationId xmlns:a16="http://schemas.microsoft.com/office/drawing/2014/main" id="{4DA54673-B9B1-5C89-C1A6-71F0964517F6}"/>
                </a:ext>
              </a:extLst>
            </xdr:cNvPr>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4267199" y="8391525"/>
              <a:ext cx="3714751" cy="13906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cper Cichy" refreshedDate="46231.430560416666" createdVersion="8" refreshedVersion="8" minRefreshableVersion="3" recordCount="109" xr:uid="{E7671563-75C7-46AC-BB97-5143D0650FA4}">
  <cacheSource type="worksheet">
    <worksheetSource name="project_3"/>
  </cacheSource>
  <cacheFields count="12">
    <cacheField name="Order_ID" numFmtId="0">
      <sharedItems/>
    </cacheField>
    <cacheField name="Order_Date" numFmtId="14">
      <sharedItems containsSemiMixedTypes="0" containsNonDate="0" containsDate="1" containsString="0" minDate="2018-01-03T00:00:00" maxDate="2022-01-01T00:00:00" count="104">
        <d v="2018-11-04T00:00:00"/>
        <d v="2018-04-25T00:00:00"/>
        <d v="2018-11-22T00:00:00"/>
        <d v="2018-01-20T00:00:00"/>
        <d v="2018-12-21T00:00:00"/>
        <d v="2018-01-03T00:00:00"/>
        <d v="2018-09-26T00:00:00"/>
        <d v="2018-01-11T00:00:00"/>
        <d v="2018-07-25T00:00:00"/>
        <d v="2018-02-18T00:00:00"/>
        <d v="2018-09-10T00:00:00"/>
        <d v="2018-02-05T00:00:00"/>
        <d v="2018-01-08T00:00:00"/>
        <d v="2018-08-01T00:00:00"/>
        <d v="2018-11-19T00:00:00"/>
        <d v="2018-10-02T00:00:00"/>
        <d v="2018-08-20T00:00:00"/>
        <d v="2018-05-05T00:00:00"/>
        <d v="2018-02-09T00:00:00"/>
        <d v="2018-09-16T00:00:00"/>
        <d v="2018-11-23T00:00:00"/>
        <d v="2018-11-01T00:00:00"/>
        <d v="2018-04-04T00:00:00"/>
        <d v="2018-11-13T00:00:00"/>
        <d v="2019-06-22T00:00:00"/>
        <d v="2019-06-29T00:00:00"/>
        <d v="2019-12-04T00:00:00"/>
        <d v="2019-12-13T00:00:00"/>
        <d v="2019-03-13T00:00:00"/>
        <d v="2019-05-18T00:00:00"/>
        <d v="2019-04-05T00:00:00"/>
        <d v="2019-11-19T00:00:00"/>
        <d v="2019-08-30T00:00:00"/>
        <d v="2019-10-15T00:00:00"/>
        <d v="2019-05-06T00:00:00"/>
        <d v="2019-02-10T00:00:00"/>
        <d v="2019-10-07T00:00:00"/>
        <d v="2019-02-12T00:00:00"/>
        <d v="2019-05-04T00:00:00"/>
        <d v="2019-03-02T00:00:00"/>
        <d v="2019-05-11T00:00:00"/>
        <d v="2019-02-02T00:00:00"/>
        <d v="2019-10-21T00:00:00"/>
        <d v="2019-02-27T00:00:00"/>
        <d v="2019-10-31T00:00:00"/>
        <d v="2019-09-25T00:00:00"/>
        <d v="2019-12-23T00:00:00"/>
        <d v="2019-12-03T00:00:00"/>
        <d v="2019-01-27T00:00:00"/>
        <d v="2019-05-14T00:00:00"/>
        <d v="2019-05-30T00:00:00"/>
        <d v="2019-11-27T00:00:00"/>
        <d v="2020-08-15T00:00:00"/>
        <d v="2020-09-05T00:00:00"/>
        <d v="2020-06-17T00:00:00"/>
        <d v="2020-07-03T00:00:00"/>
        <d v="2020-02-02T00:00:00"/>
        <d v="2020-08-22T00:00:00"/>
        <d v="2020-01-10T00:00:00"/>
        <d v="2020-11-17T00:00:00"/>
        <d v="2020-01-14T00:00:00"/>
        <d v="2020-06-08T00:00:00"/>
        <d v="2020-11-30T00:00:00"/>
        <d v="2020-03-09T00:00:00"/>
        <d v="2020-05-22T00:00:00"/>
        <d v="2020-02-06T00:00:00"/>
        <d v="2020-10-13T00:00:00"/>
        <d v="2020-02-21T00:00:00"/>
        <d v="2020-09-08T00:00:00"/>
        <d v="2020-02-10T00:00:00"/>
        <d v="2020-10-06T00:00:00"/>
        <d v="2020-06-23T00:00:00"/>
        <d v="2020-02-07T00:00:00"/>
        <d v="2020-08-30T00:00:00"/>
        <d v="2020-06-04T00:00:00"/>
        <d v="2020-12-29T00:00:00"/>
        <d v="2020-02-19T00:00:00"/>
        <d v="2020-05-09T00:00:00"/>
        <d v="2021-02-04T00:00:00"/>
        <d v="2021-08-23T00:00:00"/>
        <d v="2021-03-22T00:00:00"/>
        <d v="2021-11-17T00:00:00"/>
        <d v="2021-04-20T00:00:00"/>
        <d v="2021-11-19T00:00:00"/>
        <d v="2021-05-24T00:00:00"/>
        <d v="2021-07-18T00:00:00"/>
        <d v="2021-10-15T00:00:00"/>
        <d v="2021-12-31T00:00:00"/>
        <d v="2021-06-19T00:00:00"/>
        <d v="2021-09-16T00:00:00"/>
        <d v="2021-03-24T00:00:00"/>
        <d v="2021-06-01T00:00:00"/>
        <d v="2021-03-11T00:00:00"/>
        <d v="2021-03-29T00:00:00"/>
        <d v="2021-06-17T00:00:00"/>
        <d v="2021-05-27T00:00:00"/>
        <d v="2021-03-08T00:00:00"/>
        <d v="2021-08-03T00:00:00"/>
        <d v="2021-10-21T00:00:00"/>
        <d v="2021-06-06T00:00:00"/>
        <d v="2021-02-24T00:00:00"/>
        <d v="2021-05-26T00:00:00"/>
        <d v="2021-12-14T00:00:00"/>
        <d v="2021-10-25T00:00:00"/>
      </sharedItems>
      <fieldGroup par="11"/>
    </cacheField>
    <cacheField name="Sales_Rep" numFmtId="0">
      <sharedItems/>
    </cacheField>
    <cacheField name="Region" numFmtId="0">
      <sharedItems/>
    </cacheField>
    <cacheField name="Category" numFmtId="0">
      <sharedItems count="5">
        <s v="Hardware"/>
        <s v="Consulting"/>
        <s v="IT"/>
        <s v="Software"/>
        <s v="Training"/>
      </sharedItems>
    </cacheField>
    <cacheField name="Product" numFmtId="0">
      <sharedItems/>
    </cacheField>
    <cacheField name="Gross_Sales" numFmtId="0">
      <sharedItems containsSemiMixedTypes="0" containsString="0" containsNumber="1" containsInteger="1" minValue="11200" maxValue="90200"/>
    </cacheField>
    <cacheField name="Cost" numFmtId="0">
      <sharedItems containsString="0" containsBlank="1" containsNumber="1" containsInteger="1" minValue="5745" maxValue="67598"/>
    </cacheField>
    <cacheField name="Manager_Rating_Index" numFmtId="0">
      <sharedItems containsSemiMixedTypes="0" containsString="0" containsNumber="1" containsInteger="1" minValue="1" maxValue="5"/>
    </cacheField>
    <cacheField name="Months (Order_Date)" numFmtId="0" databaseField="0">
      <fieldGroup base="1">
        <rangePr groupBy="months" startDate="2018-01-03T00:00:00" endDate="2022-01-01T00:00:00"/>
        <groupItems count="14">
          <s v="&lt;03.01.2018"/>
          <s v="sty"/>
          <s v="lut"/>
          <s v="mar"/>
          <s v="kwi"/>
          <s v="maj"/>
          <s v="cze"/>
          <s v="lip"/>
          <s v="sie"/>
          <s v="wrz"/>
          <s v="paź"/>
          <s v="lis"/>
          <s v="gru"/>
          <s v="&gt;01.01.2022"/>
        </groupItems>
      </fieldGroup>
    </cacheField>
    <cacheField name="Quarters (Order_Date)" numFmtId="0" databaseField="0">
      <fieldGroup base="1">
        <rangePr groupBy="quarters" startDate="2018-01-03T00:00:00" endDate="2022-01-01T00:00:00"/>
        <groupItems count="6">
          <s v="&lt;03.01.2018"/>
          <s v="Qtr1"/>
          <s v="Qtr2"/>
          <s v="Qtr3"/>
          <s v="Qtr4"/>
          <s v="&gt;01.01.2022"/>
        </groupItems>
      </fieldGroup>
    </cacheField>
    <cacheField name="Years (Order_Date)" numFmtId="0" databaseField="0">
      <fieldGroup base="1">
        <rangePr groupBy="years" startDate="2018-01-03T00:00:00" endDate="2022-01-01T00:00:00"/>
        <groupItems count="7">
          <s v="&lt;03.01.2018"/>
          <s v="2018"/>
          <s v="2019"/>
          <s v="2020"/>
          <s v="2021"/>
          <s v="2022"/>
          <s v="&gt;01.01.2022"/>
        </groupItems>
      </fieldGroup>
    </cacheField>
  </cacheFields>
  <extLst>
    <ext xmlns:x14="http://schemas.microsoft.com/office/spreadsheetml/2009/9/main" uri="{725AE2AE-9491-48be-B2B4-4EB974FC3084}">
      <x14:pivotCacheDefinition pivotCacheId="414785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s v="ORD-1001"/>
    <x v="0"/>
    <s v="Pam Beesly"/>
    <s v="North"/>
    <x v="0"/>
    <s v="Server Rack"/>
    <n v="24000"/>
    <n v="16948"/>
    <n v="1"/>
  </r>
  <r>
    <s v="ORD-1002"/>
    <x v="1"/>
    <s v="Jane Smith"/>
    <s v="North"/>
    <x v="1"/>
    <s v="Strategy Plan"/>
    <n v="61400"/>
    <m/>
    <n v="5"/>
  </r>
  <r>
    <s v="ORD-1003"/>
    <x v="2"/>
    <s v="John Doe"/>
    <s v="North"/>
    <x v="2"/>
    <s v="Network Setup"/>
    <n v="50000"/>
    <n v="20013"/>
    <n v="4"/>
  </r>
  <r>
    <s v="ORD-1004"/>
    <x v="3"/>
    <s v="Jane Smith"/>
    <s v="East"/>
    <x v="3"/>
    <s v="Cloud License"/>
    <n v="15000"/>
    <n v="9169"/>
    <n v="5"/>
  </r>
  <r>
    <s v="ORD-1005"/>
    <x v="4"/>
    <s v="Jim Halpert"/>
    <s v="North"/>
    <x v="1"/>
    <s v="Risk Assessment"/>
    <n v="87300"/>
    <n v="67598"/>
    <n v="5"/>
  </r>
  <r>
    <s v="ORD-1006"/>
    <x v="5"/>
    <s v="Pam Beesly"/>
    <s v="West"/>
    <x v="2"/>
    <s v="Network Setup"/>
    <n v="48600"/>
    <n v="31254"/>
    <n v="2"/>
  </r>
  <r>
    <s v="ORD-1007"/>
    <x v="6"/>
    <s v="Pam Beesly"/>
    <s v="North"/>
    <x v="0"/>
    <s v="Server Rack"/>
    <n v="20100"/>
    <n v="9335"/>
    <n v="3"/>
  </r>
  <r>
    <s v="ORD-1008"/>
    <x v="7"/>
    <s v="Jane Smith"/>
    <s v="North"/>
    <x v="1"/>
    <s v="Strategy Plan"/>
    <n v="57300"/>
    <n v="29701"/>
    <n v="3"/>
  </r>
  <r>
    <s v="ORD-1009"/>
    <x v="8"/>
    <s v="Jim Halpert"/>
    <s v="North"/>
    <x v="3"/>
    <s v="Cloud License"/>
    <n v="15600"/>
    <n v="8239"/>
    <n v="1"/>
  </r>
  <r>
    <s v="ORD-1010"/>
    <x v="9"/>
    <s v="Jane Smith"/>
    <s v="East"/>
    <x v="1"/>
    <s v="Strategy Plan"/>
    <n v="75600"/>
    <n v="53917"/>
    <n v="4"/>
  </r>
  <r>
    <s v="ORD-1011"/>
    <x v="10"/>
    <s v="Pam Beesly"/>
    <s v="North"/>
    <x v="4"/>
    <s v="Webinar"/>
    <n v="40100"/>
    <n v="24639"/>
    <n v="2"/>
  </r>
  <r>
    <s v="ORD-1012"/>
    <x v="11"/>
    <s v="Michael Scott"/>
    <s v="South"/>
    <x v="0"/>
    <s v="Laptop Pro"/>
    <n v="16900"/>
    <n v="13020"/>
    <n v="5"/>
  </r>
  <r>
    <s v="ORD-1013"/>
    <x v="12"/>
    <s v="Jane Smith"/>
    <s v="West"/>
    <x v="4"/>
    <s v="Webinar"/>
    <n v="89600"/>
    <n v="44462"/>
    <n v="1"/>
  </r>
  <r>
    <s v="ORD-1014"/>
    <x v="13"/>
    <s v="John Doe"/>
    <s v="West"/>
    <x v="2"/>
    <s v="Network Setup"/>
    <n v="50200"/>
    <m/>
    <n v="2"/>
  </r>
  <r>
    <s v="ORD-1015"/>
    <x v="6"/>
    <s v="John Doe"/>
    <s v="South"/>
    <x v="3"/>
    <s v="ERP System"/>
    <n v="46000"/>
    <m/>
    <n v="5"/>
  </r>
  <r>
    <s v="ORD-1016"/>
    <x v="14"/>
    <s v="Jane Smith"/>
    <s v="East"/>
    <x v="3"/>
    <s v="Cloud License"/>
    <n v="56900"/>
    <n v="43559"/>
    <n v="2"/>
  </r>
  <r>
    <s v="ORD-1017"/>
    <x v="15"/>
    <s v="Jane Smith"/>
    <s v="East"/>
    <x v="3"/>
    <s v="Cloud License"/>
    <n v="21600"/>
    <n v="15939"/>
    <n v="3"/>
  </r>
  <r>
    <s v="ORD-1018"/>
    <x v="16"/>
    <s v="Jane Smith"/>
    <s v="South"/>
    <x v="4"/>
    <s v="Webinar"/>
    <n v="65900"/>
    <n v="48200"/>
    <n v="3"/>
  </r>
  <r>
    <s v="ORD-1019"/>
    <x v="17"/>
    <s v="Jane Smith"/>
    <s v="South"/>
    <x v="1"/>
    <s v="Strategy Plan"/>
    <n v="14000"/>
    <n v="10757"/>
    <n v="3"/>
  </r>
  <r>
    <s v="ORD-1020"/>
    <x v="18"/>
    <s v="John Doe"/>
    <s v="West"/>
    <x v="3"/>
    <s v="ERP System"/>
    <n v="36200"/>
    <n v="14766"/>
    <n v="4"/>
  </r>
  <r>
    <s v="ORD-1021"/>
    <x v="19"/>
    <s v="Jim Halpert"/>
    <s v="South"/>
    <x v="0"/>
    <s v="Laptop Pro"/>
    <n v="87000"/>
    <n v="38250"/>
    <n v="1"/>
  </r>
  <r>
    <s v="ORD-1022"/>
    <x v="20"/>
    <s v="Pam Beesly"/>
    <s v="South"/>
    <x v="3"/>
    <s v="Cloud License"/>
    <n v="67100"/>
    <n v="29642"/>
    <n v="1"/>
  </r>
  <r>
    <s v="ORD-1023"/>
    <x v="21"/>
    <s v="John Doe"/>
    <s v="East"/>
    <x v="4"/>
    <s v="Webinar"/>
    <n v="72000"/>
    <n v="49415"/>
    <n v="4"/>
  </r>
  <r>
    <s v="ORD-1024"/>
    <x v="22"/>
    <s v="Jane Smith"/>
    <s v="North"/>
    <x v="1"/>
    <s v="Strategy Plan"/>
    <n v="57600"/>
    <n v="23158"/>
    <n v="3"/>
  </r>
  <r>
    <s v="ORD-1025"/>
    <x v="23"/>
    <s v="Jane Smith"/>
    <s v="South"/>
    <x v="2"/>
    <s v="Security Audit"/>
    <n v="28200"/>
    <n v="19166"/>
    <n v="5"/>
  </r>
  <r>
    <s v="ORD-1026"/>
    <x v="24"/>
    <s v="Pam Beesly"/>
    <s v="East"/>
    <x v="3"/>
    <s v="Cloud License"/>
    <n v="15900"/>
    <n v="10791"/>
    <n v="3"/>
  </r>
  <r>
    <s v="ORD-1027"/>
    <x v="25"/>
    <s v="Pam Beesly"/>
    <s v="West"/>
    <x v="2"/>
    <s v="Security Audit"/>
    <n v="15100"/>
    <n v="6141"/>
    <n v="4"/>
  </r>
  <r>
    <s v="ORD-1028"/>
    <x v="26"/>
    <s v="John Doe"/>
    <s v="North"/>
    <x v="0"/>
    <s v="Desktop PC"/>
    <n v="20700"/>
    <n v="11723"/>
    <n v="2"/>
  </r>
  <r>
    <s v="ORD-1029"/>
    <x v="27"/>
    <s v="Jim Halpert"/>
    <s v="North"/>
    <x v="1"/>
    <s v="Risk Assessment"/>
    <n v="54600"/>
    <n v="33095"/>
    <n v="2"/>
  </r>
  <r>
    <s v="ORD-1030"/>
    <x v="28"/>
    <s v="Jim Halpert"/>
    <s v="South"/>
    <x v="3"/>
    <s v="ERP System"/>
    <n v="50000"/>
    <m/>
    <n v="4"/>
  </r>
  <r>
    <s v="ORD-1031"/>
    <x v="29"/>
    <s v="Pam Beesly"/>
    <s v="North"/>
    <x v="4"/>
    <s v="On-site Training"/>
    <n v="72500"/>
    <n v="40476"/>
    <n v="1"/>
  </r>
  <r>
    <s v="ORD-1032"/>
    <x v="30"/>
    <s v="Pam Beesly"/>
    <s v="North"/>
    <x v="3"/>
    <s v="ERP System"/>
    <n v="83300"/>
    <n v="44343"/>
    <n v="1"/>
  </r>
  <r>
    <s v="ORD-1033"/>
    <x v="31"/>
    <s v="John Doe"/>
    <s v="East"/>
    <x v="0"/>
    <s v="Server Rack"/>
    <n v="88600"/>
    <n v="49185"/>
    <n v="3"/>
  </r>
  <r>
    <s v="ORD-1034"/>
    <x v="32"/>
    <s v="Jim Halpert"/>
    <s v="South"/>
    <x v="2"/>
    <s v="Network Setup"/>
    <n v="15500"/>
    <n v="12074"/>
    <n v="2"/>
  </r>
  <r>
    <s v="ORD-1035"/>
    <x v="33"/>
    <s v="John Doe"/>
    <s v="North"/>
    <x v="0"/>
    <s v="Server Rack"/>
    <n v="15000"/>
    <m/>
    <n v="5"/>
  </r>
  <r>
    <s v="ORD-1036"/>
    <x v="34"/>
    <s v="Jim Halpert"/>
    <s v="West"/>
    <x v="2"/>
    <s v="Network Setup"/>
    <n v="82200"/>
    <n v="64871"/>
    <n v="1"/>
  </r>
  <r>
    <s v="ORD-1037"/>
    <x v="35"/>
    <s v="Jim Halpert"/>
    <s v="East"/>
    <x v="1"/>
    <s v="Risk Assessment"/>
    <n v="50000"/>
    <n v="37236"/>
    <n v="2"/>
  </r>
  <r>
    <s v="ORD-1038"/>
    <x v="36"/>
    <s v="Pam Beesly"/>
    <s v="North"/>
    <x v="4"/>
    <s v="On-site Training"/>
    <n v="21800"/>
    <m/>
    <n v="4"/>
  </r>
  <r>
    <s v="ORD-1039"/>
    <x v="37"/>
    <s v="Pam Beesly"/>
    <s v="West"/>
    <x v="3"/>
    <s v="Cloud License"/>
    <n v="70500"/>
    <n v="29672"/>
    <n v="4"/>
  </r>
  <r>
    <s v="ORD-1040"/>
    <x v="38"/>
    <s v="Jane Smith"/>
    <s v="North"/>
    <x v="4"/>
    <s v="Webinar"/>
    <n v="32700"/>
    <n v="24254"/>
    <n v="3"/>
  </r>
  <r>
    <s v="ORD-1041"/>
    <x v="39"/>
    <s v="Jim Halpert"/>
    <s v="East"/>
    <x v="2"/>
    <s v="Security Audit"/>
    <n v="77500"/>
    <n v="58773"/>
    <n v="1"/>
  </r>
  <r>
    <s v="ORD-1042"/>
    <x v="40"/>
    <s v="John Doe"/>
    <s v="South"/>
    <x v="2"/>
    <s v="Network Setup"/>
    <n v="65700"/>
    <n v="44786"/>
    <n v="2"/>
  </r>
  <r>
    <s v="ORD-1043"/>
    <x v="41"/>
    <s v="Pam Beesly"/>
    <s v="East"/>
    <x v="4"/>
    <s v="Webinar"/>
    <n v="39900"/>
    <n v="16889"/>
    <n v="5"/>
  </r>
  <r>
    <s v="ORD-1044"/>
    <x v="42"/>
    <s v="Jim Halpert"/>
    <s v="West"/>
    <x v="3"/>
    <s v="ERP System"/>
    <n v="67200"/>
    <n v="29278"/>
    <n v="2"/>
  </r>
  <r>
    <s v="ORD-1045"/>
    <x v="43"/>
    <s v="John Doe"/>
    <s v="South"/>
    <x v="1"/>
    <s v="Strategy Plan"/>
    <n v="60800"/>
    <n v="47766"/>
    <n v="1"/>
  </r>
  <r>
    <s v="ORD-1046"/>
    <x v="44"/>
    <s v="Pam Beesly"/>
    <s v="South"/>
    <x v="1"/>
    <s v="Strategy Plan"/>
    <n v="12200"/>
    <n v="5745"/>
    <n v="1"/>
  </r>
  <r>
    <s v="ORD-1047"/>
    <x v="45"/>
    <s v="John Doe"/>
    <s v="East"/>
    <x v="3"/>
    <s v="Cloud License"/>
    <n v="30000"/>
    <n v="19336"/>
    <n v="4"/>
  </r>
  <r>
    <s v="ORD-1048"/>
    <x v="46"/>
    <s v="Michael Scott"/>
    <s v="East"/>
    <x v="3"/>
    <s v="Cloud License"/>
    <n v="15000"/>
    <n v="11481"/>
    <n v="2"/>
  </r>
  <r>
    <s v="ORD-1049"/>
    <x v="47"/>
    <s v="Jim Halpert"/>
    <s v="South"/>
    <x v="0"/>
    <s v="Laptop Pro"/>
    <n v="84900"/>
    <n v="42118"/>
    <n v="4"/>
  </r>
  <r>
    <s v="ORD-1050"/>
    <x v="48"/>
    <s v="Jim Halpert"/>
    <s v="West"/>
    <x v="1"/>
    <s v="Risk Assessment"/>
    <n v="26300"/>
    <m/>
    <n v="2"/>
  </r>
  <r>
    <s v="ORD-1051"/>
    <x v="49"/>
    <s v="John Doe"/>
    <s v="East"/>
    <x v="0"/>
    <s v="Server Rack"/>
    <n v="23200"/>
    <n v="17360"/>
    <n v="4"/>
  </r>
  <r>
    <s v="ORD-1052"/>
    <x v="50"/>
    <s v="Michael Scott"/>
    <s v="West"/>
    <x v="4"/>
    <s v="On-site Training"/>
    <n v="47000"/>
    <n v="19188"/>
    <n v="5"/>
  </r>
  <r>
    <s v="ORD-1053"/>
    <x v="51"/>
    <s v="Pam Beesly"/>
    <s v="West"/>
    <x v="0"/>
    <s v="Laptop Pro"/>
    <n v="15000"/>
    <n v="8935"/>
    <n v="4"/>
  </r>
  <r>
    <s v="ORD-1054"/>
    <x v="52"/>
    <s v="Pam Beesly"/>
    <s v="North"/>
    <x v="2"/>
    <s v="Network Setup"/>
    <n v="64700"/>
    <n v="46060"/>
    <n v="2"/>
  </r>
  <r>
    <s v="ORD-1055"/>
    <x v="53"/>
    <s v="Jane Smith"/>
    <s v="West"/>
    <x v="0"/>
    <s v="Desktop PC"/>
    <n v="15000"/>
    <n v="7771"/>
    <n v="3"/>
  </r>
  <r>
    <s v="ORD-1056"/>
    <x v="54"/>
    <s v="Jim Halpert"/>
    <s v="South"/>
    <x v="3"/>
    <s v="ERP System"/>
    <n v="85600"/>
    <n v="38067"/>
    <n v="1"/>
  </r>
  <r>
    <s v="ORD-1057"/>
    <x v="55"/>
    <s v="Pam Beesly"/>
    <s v="North"/>
    <x v="0"/>
    <s v="Desktop PC"/>
    <n v="40000"/>
    <n v="30554"/>
    <n v="2"/>
  </r>
  <r>
    <s v="ORD-1058"/>
    <x v="56"/>
    <s v="Jim Halpert"/>
    <s v="South"/>
    <x v="3"/>
    <s v="ERP System"/>
    <n v="11200"/>
    <n v="7447"/>
    <n v="1"/>
  </r>
  <r>
    <s v="ORD-1059"/>
    <x v="57"/>
    <s v="Pam Beesly"/>
    <s v="North"/>
    <x v="0"/>
    <s v="Desktop PC"/>
    <n v="90200"/>
    <n v="46681"/>
    <n v="5"/>
  </r>
  <r>
    <s v="ORD-1060"/>
    <x v="58"/>
    <s v="Michael Scott"/>
    <s v="West"/>
    <x v="3"/>
    <s v="Cloud License"/>
    <n v="64200"/>
    <n v="48788"/>
    <n v="4"/>
  </r>
  <r>
    <s v="ORD-1061"/>
    <x v="59"/>
    <s v="Jim Halpert"/>
    <s v="East"/>
    <x v="1"/>
    <s v="Strategy Plan"/>
    <n v="69000"/>
    <n v="48698"/>
    <n v="5"/>
  </r>
  <r>
    <s v="ORD-1062"/>
    <x v="60"/>
    <s v="John Doe"/>
    <s v="West"/>
    <x v="1"/>
    <s v="Strategy Plan"/>
    <n v="56200"/>
    <n v="23330"/>
    <n v="4"/>
  </r>
  <r>
    <s v="ORD-1063"/>
    <x v="61"/>
    <s v="John Doe"/>
    <s v="East"/>
    <x v="4"/>
    <s v="On-site Training"/>
    <n v="17200"/>
    <n v="10904"/>
    <n v="5"/>
  </r>
  <r>
    <s v="ORD-1064"/>
    <x v="62"/>
    <s v="Jane Smith"/>
    <s v="South"/>
    <x v="3"/>
    <s v="Cloud License"/>
    <n v="48100"/>
    <n v="21282"/>
    <n v="3"/>
  </r>
  <r>
    <s v="ORD-1065"/>
    <x v="63"/>
    <s v="Michael Scott"/>
    <s v="West"/>
    <x v="0"/>
    <s v="Server Rack"/>
    <n v="70200"/>
    <n v="44195"/>
    <n v="2"/>
  </r>
  <r>
    <s v="ORD-1066"/>
    <x v="62"/>
    <s v="John Doe"/>
    <s v="East"/>
    <x v="3"/>
    <s v="ERP System"/>
    <n v="51900"/>
    <n v="22025"/>
    <n v="2"/>
  </r>
  <r>
    <s v="ORD-1067"/>
    <x v="59"/>
    <s v="John Doe"/>
    <s v="South"/>
    <x v="1"/>
    <s v="Strategy Plan"/>
    <n v="63400"/>
    <n v="35984"/>
    <n v="3"/>
  </r>
  <r>
    <s v="ORD-1068"/>
    <x v="64"/>
    <s v="Jane Smith"/>
    <s v="North"/>
    <x v="3"/>
    <s v="Cloud License"/>
    <n v="60600"/>
    <n v="41123"/>
    <n v="3"/>
  </r>
  <r>
    <s v="ORD-1069"/>
    <x v="65"/>
    <s v="Jim Halpert"/>
    <s v="North"/>
    <x v="4"/>
    <s v="On-site Training"/>
    <n v="57300"/>
    <n v="30334"/>
    <n v="4"/>
  </r>
  <r>
    <s v="ORD-1070"/>
    <x v="66"/>
    <s v="Jane Smith"/>
    <s v="East"/>
    <x v="1"/>
    <s v="Strategy Plan"/>
    <n v="44200"/>
    <m/>
    <n v="1"/>
  </r>
  <r>
    <s v="ORD-1071"/>
    <x v="67"/>
    <s v="John Doe"/>
    <s v="South"/>
    <x v="4"/>
    <s v="Webinar"/>
    <n v="15000"/>
    <n v="10306"/>
    <n v="3"/>
  </r>
  <r>
    <s v="ORD-1072"/>
    <x v="68"/>
    <s v="Michael Scott"/>
    <s v="North"/>
    <x v="0"/>
    <s v="Server Rack"/>
    <n v="51500"/>
    <n v="35034"/>
    <n v="4"/>
  </r>
  <r>
    <s v="ORD-1073"/>
    <x v="64"/>
    <s v="Pam Beesly"/>
    <s v="South"/>
    <x v="4"/>
    <s v="On-site Training"/>
    <n v="88800"/>
    <n v="52162"/>
    <n v="2"/>
  </r>
  <r>
    <s v="ORD-1074"/>
    <x v="69"/>
    <s v="Michael Scott"/>
    <s v="East"/>
    <x v="3"/>
    <s v="ERP System"/>
    <n v="66000"/>
    <m/>
    <n v="1"/>
  </r>
  <r>
    <s v="ORD-1075"/>
    <x v="70"/>
    <s v="Pam Beesly"/>
    <s v="West"/>
    <x v="0"/>
    <s v="Desktop PC"/>
    <n v="27200"/>
    <n v="20296"/>
    <n v="4"/>
  </r>
  <r>
    <s v="ORD-1076"/>
    <x v="71"/>
    <s v="Pam Beesly"/>
    <s v="West"/>
    <x v="0"/>
    <s v="Desktop PC"/>
    <n v="15900"/>
    <n v="6974"/>
    <n v="3"/>
  </r>
  <r>
    <s v="ORD-1077"/>
    <x v="72"/>
    <s v="John Doe"/>
    <s v="South"/>
    <x v="4"/>
    <s v="Webinar"/>
    <n v="15000"/>
    <n v="11816"/>
    <n v="1"/>
  </r>
  <r>
    <s v="ORD-1078"/>
    <x v="54"/>
    <s v="John Doe"/>
    <s v="North"/>
    <x v="1"/>
    <s v="Strategy Plan"/>
    <n v="59700"/>
    <n v="43518"/>
    <n v="1"/>
  </r>
  <r>
    <s v="ORD-1079"/>
    <x v="73"/>
    <s v="John Doe"/>
    <s v="North"/>
    <x v="2"/>
    <s v="Network Setup"/>
    <n v="87800"/>
    <n v="46549"/>
    <n v="2"/>
  </r>
  <r>
    <s v="ORD-1080"/>
    <x v="74"/>
    <s v="Jane Smith"/>
    <s v="South"/>
    <x v="4"/>
    <s v="On-site Training"/>
    <n v="50900"/>
    <n v="38852"/>
    <n v="5"/>
  </r>
  <r>
    <s v="ORD-1081"/>
    <x v="75"/>
    <s v="Jane Smith"/>
    <s v="East"/>
    <x v="1"/>
    <s v="Strategy Plan"/>
    <n v="50000"/>
    <n v="24115"/>
    <n v="4"/>
  </r>
  <r>
    <s v="ORD-1082"/>
    <x v="76"/>
    <s v="Jim Halpert"/>
    <s v="West"/>
    <x v="0"/>
    <s v="Desktop PC"/>
    <n v="22500"/>
    <n v="9135"/>
    <n v="3"/>
  </r>
  <r>
    <s v="ORD-1083"/>
    <x v="77"/>
    <s v="Jane Smith"/>
    <s v="West"/>
    <x v="4"/>
    <s v="On-site Training"/>
    <n v="59200"/>
    <n v="33515"/>
    <n v="5"/>
  </r>
  <r>
    <s v="ORD-1084"/>
    <x v="78"/>
    <s v="Jim Halpert"/>
    <s v="South"/>
    <x v="1"/>
    <s v="Strategy Plan"/>
    <n v="50000"/>
    <n v="36655"/>
    <n v="1"/>
  </r>
  <r>
    <s v="ORD-1085"/>
    <x v="79"/>
    <s v="Michael Scott"/>
    <s v="North"/>
    <x v="4"/>
    <s v="On-site Training"/>
    <n v="50000"/>
    <n v="38018"/>
    <n v="1"/>
  </r>
  <r>
    <s v="ORD-1086"/>
    <x v="80"/>
    <s v="John Doe"/>
    <s v="South"/>
    <x v="4"/>
    <s v="On-site Training"/>
    <n v="81100"/>
    <m/>
    <n v="4"/>
  </r>
  <r>
    <s v="ORD-1087"/>
    <x v="81"/>
    <s v="Michael Scott"/>
    <s v="North"/>
    <x v="2"/>
    <s v="Security Audit"/>
    <n v="46200"/>
    <n v="33473"/>
    <n v="1"/>
  </r>
  <r>
    <s v="ORD-1088"/>
    <x v="82"/>
    <s v="John Doe"/>
    <s v="North"/>
    <x v="0"/>
    <s v="Server Rack"/>
    <n v="18000"/>
    <n v="9090"/>
    <n v="3"/>
  </r>
  <r>
    <s v="ORD-1089"/>
    <x v="83"/>
    <s v="Jim Halpert"/>
    <s v="East"/>
    <x v="4"/>
    <s v="Webinar"/>
    <n v="42400"/>
    <n v="25549"/>
    <n v="5"/>
  </r>
  <r>
    <s v="ORD-1090"/>
    <x v="84"/>
    <s v="John Doe"/>
    <s v="South"/>
    <x v="2"/>
    <s v="Security Audit"/>
    <n v="61400"/>
    <n v="32041"/>
    <n v="2"/>
  </r>
  <r>
    <s v="ORD-1091"/>
    <x v="85"/>
    <s v="Jane Smith"/>
    <s v="South"/>
    <x v="2"/>
    <s v="Network Setup"/>
    <n v="35500"/>
    <n v="17742"/>
    <n v="2"/>
  </r>
  <r>
    <s v="ORD-1092"/>
    <x v="86"/>
    <s v="Michael Scott"/>
    <s v="North"/>
    <x v="3"/>
    <s v="ERP System"/>
    <n v="30600"/>
    <n v="19063"/>
    <n v="5"/>
  </r>
  <r>
    <s v="ORD-1093"/>
    <x v="87"/>
    <s v="Michael Scott"/>
    <s v="East"/>
    <x v="1"/>
    <s v="Strategy Plan"/>
    <n v="24000"/>
    <n v="15027"/>
    <n v="3"/>
  </r>
  <r>
    <s v="ORD-1094"/>
    <x v="88"/>
    <s v="Michael Scott"/>
    <s v="North"/>
    <x v="2"/>
    <s v="Network Setup"/>
    <n v="88000"/>
    <n v="62609"/>
    <n v="1"/>
  </r>
  <r>
    <s v="ORD-1095"/>
    <x v="89"/>
    <s v="Michael Scott"/>
    <s v="South"/>
    <x v="2"/>
    <s v="Network Setup"/>
    <n v="44900"/>
    <n v="18774"/>
    <n v="1"/>
  </r>
  <r>
    <s v="ORD-1096"/>
    <x v="90"/>
    <s v="Pam Beesly"/>
    <s v="North"/>
    <x v="2"/>
    <s v="Security Audit"/>
    <n v="16700"/>
    <n v="12399"/>
    <n v="2"/>
  </r>
  <r>
    <s v="ORD-1097"/>
    <x v="91"/>
    <s v="Jane Smith"/>
    <s v="East"/>
    <x v="2"/>
    <s v="Network Setup"/>
    <n v="76900"/>
    <n v="56236"/>
    <n v="3"/>
  </r>
  <r>
    <s v="ORD-1098"/>
    <x v="92"/>
    <s v="John Doe"/>
    <s v="East"/>
    <x v="2"/>
    <s v="Network Setup"/>
    <n v="78700"/>
    <n v="56071"/>
    <n v="2"/>
  </r>
  <r>
    <s v="ORD-1099"/>
    <x v="93"/>
    <s v="Pam Beesly"/>
    <s v="North"/>
    <x v="4"/>
    <s v="On-site Training"/>
    <n v="52600"/>
    <n v="29547"/>
    <n v="5"/>
  </r>
  <r>
    <s v="ORD-1100"/>
    <x v="94"/>
    <s v="Michael Scott"/>
    <s v="West"/>
    <x v="0"/>
    <s v="Laptop Pro"/>
    <n v="72000"/>
    <n v="45740"/>
    <n v="5"/>
  </r>
  <r>
    <s v="ORD-1101"/>
    <x v="95"/>
    <s v="Jim Halpert"/>
    <s v="East"/>
    <x v="4"/>
    <s v="On-site Training"/>
    <n v="46000"/>
    <n v="23884"/>
    <n v="3"/>
  </r>
  <r>
    <s v="ORD-1102"/>
    <x v="96"/>
    <s v="Pam Beesly"/>
    <s v="South"/>
    <x v="1"/>
    <s v="Strategy Plan"/>
    <n v="54600"/>
    <n v="35924"/>
    <n v="4"/>
  </r>
  <r>
    <s v="ORD-1103"/>
    <x v="97"/>
    <s v="Jim Halpert"/>
    <s v="South"/>
    <x v="1"/>
    <s v="Strategy Plan"/>
    <n v="68000"/>
    <n v="35456"/>
    <n v="3"/>
  </r>
  <r>
    <s v="ORD-1104"/>
    <x v="98"/>
    <s v="Michael Scott"/>
    <s v="East"/>
    <x v="4"/>
    <s v="On-site Training"/>
    <n v="41800"/>
    <n v="23514"/>
    <n v="1"/>
  </r>
  <r>
    <s v="ORD-1105"/>
    <x v="99"/>
    <s v="Jane Smith"/>
    <s v="East"/>
    <x v="3"/>
    <s v="ERP System"/>
    <n v="47700"/>
    <m/>
    <n v="2"/>
  </r>
  <r>
    <s v="ORD-1106"/>
    <x v="100"/>
    <s v="Michael Scott"/>
    <s v="West"/>
    <x v="0"/>
    <s v="Server Rack"/>
    <n v="65700"/>
    <n v="30884"/>
    <n v="2"/>
  </r>
  <r>
    <s v="ORD-1107"/>
    <x v="101"/>
    <s v="John Doe"/>
    <s v="East"/>
    <x v="0"/>
    <s v="Desktop PC"/>
    <n v="71100"/>
    <n v="43053"/>
    <n v="2"/>
  </r>
  <r>
    <s v="ORD-1108"/>
    <x v="102"/>
    <s v="Michael Scott"/>
    <s v="East"/>
    <x v="0"/>
    <s v="Laptop Pro"/>
    <n v="13600"/>
    <n v="9506"/>
    <n v="2"/>
  </r>
  <r>
    <s v="ORD-1109"/>
    <x v="103"/>
    <s v="Jim Halpert"/>
    <s v="East"/>
    <x v="2"/>
    <s v="Security Audit"/>
    <n v="59000"/>
    <n v="4630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DA589-35DC-4F82-BD02-1F37FB1BEFD7}" name="PivotTable2" cacheId="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42:C46" firstHeaderRow="1" firstDataRow="2" firstDataCol="1"/>
  <pivotFields count="12">
    <pivotField showAll="0"/>
    <pivotField numFmtId="14" showAll="0">
      <items count="105">
        <item x="5"/>
        <item x="12"/>
        <item x="7"/>
        <item x="3"/>
        <item x="11"/>
        <item x="18"/>
        <item x="9"/>
        <item x="22"/>
        <item x="1"/>
        <item x="17"/>
        <item x="8"/>
        <item x="13"/>
        <item x="16"/>
        <item x="10"/>
        <item x="19"/>
        <item x="6"/>
        <item x="15"/>
        <item x="21"/>
        <item x="0"/>
        <item x="23"/>
        <item x="14"/>
        <item x="2"/>
        <item x="20"/>
        <item x="4"/>
        <item x="48"/>
        <item x="41"/>
        <item x="35"/>
        <item x="37"/>
        <item x="43"/>
        <item x="39"/>
        <item x="28"/>
        <item x="30"/>
        <item x="38"/>
        <item x="34"/>
        <item x="40"/>
        <item x="49"/>
        <item x="29"/>
        <item x="50"/>
        <item x="24"/>
        <item x="25"/>
        <item x="32"/>
        <item x="45"/>
        <item x="36"/>
        <item x="33"/>
        <item x="42"/>
        <item x="44"/>
        <item x="31"/>
        <item x="51"/>
        <item x="47"/>
        <item x="26"/>
        <item x="27"/>
        <item x="46"/>
        <item x="58"/>
        <item x="60"/>
        <item x="56"/>
        <item x="65"/>
        <item x="72"/>
        <item x="69"/>
        <item x="76"/>
        <item x="67"/>
        <item x="63"/>
        <item x="77"/>
        <item x="64"/>
        <item x="74"/>
        <item x="61"/>
        <item x="54"/>
        <item x="71"/>
        <item x="55"/>
        <item x="52"/>
        <item x="57"/>
        <item x="73"/>
        <item x="53"/>
        <item x="68"/>
        <item x="70"/>
        <item x="66"/>
        <item x="59"/>
        <item x="62"/>
        <item x="75"/>
        <item x="78"/>
        <item x="100"/>
        <item x="96"/>
        <item x="92"/>
        <item x="80"/>
        <item x="90"/>
        <item x="93"/>
        <item x="82"/>
        <item x="84"/>
        <item x="101"/>
        <item x="95"/>
        <item x="91"/>
        <item x="99"/>
        <item x="94"/>
        <item x="88"/>
        <item x="85"/>
        <item x="97"/>
        <item x="79"/>
        <item x="89"/>
        <item x="86"/>
        <item x="98"/>
        <item x="103"/>
        <item x="81"/>
        <item x="83"/>
        <item x="102"/>
        <item x="87"/>
        <item t="default"/>
      </items>
    </pivotField>
    <pivotField showAll="0"/>
    <pivotField showAll="0"/>
    <pivotField axis="axisCol" showAll="0">
      <items count="6">
        <item h="1" x="1"/>
        <item h="1" x="0"/>
        <item x="2"/>
        <item h="1" x="3"/>
        <item h="1" x="4"/>
        <item t="default"/>
      </items>
    </pivotField>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9"/>
  </rowFields>
  <rowItems count="3">
    <i>
      <x v="10"/>
    </i>
    <i>
      <x v="11"/>
    </i>
    <i t="grand">
      <x/>
    </i>
  </rowItems>
  <colFields count="1">
    <field x="4"/>
  </colFields>
  <colItems count="2">
    <i>
      <x v="2"/>
    </i>
    <i t="grand">
      <x/>
    </i>
  </colItems>
  <dataFields count="1">
    <dataField name="Sum of Gross_Sales" fld="6" baseField="0" baseItem="0" numFmtId="44"/>
  </dataFields>
  <pivotTableStyleInfo name="PivotStyleDark19" showRowHeaders="1" showColHeaders="1" showRowStripes="0" showColStripes="0" showLastColumn="1"/>
  <filters count="1">
    <filter fld="1" type="dateBetween" evalOrder="-1" id="8" name="Order_Date">
      <autoFilter ref="A1">
        <filterColumn colId="0">
          <customFilters and="1">
            <customFilter operator="greaterThanOrEqual" val="44470"/>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73DCB9-47BE-4298-9798-F4BDCB8955E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17" firstHeaderRow="1" firstDataRow="2" firstDataCol="1"/>
  <pivotFields count="12">
    <pivotField showAll="0"/>
    <pivotField numFmtId="14" showAll="0">
      <items count="105">
        <item x="5"/>
        <item x="12"/>
        <item x="7"/>
        <item x="3"/>
        <item x="11"/>
        <item x="18"/>
        <item x="9"/>
        <item x="22"/>
        <item x="1"/>
        <item x="17"/>
        <item x="8"/>
        <item x="13"/>
        <item x="16"/>
        <item x="10"/>
        <item x="19"/>
        <item x="6"/>
        <item x="15"/>
        <item x="21"/>
        <item x="0"/>
        <item x="23"/>
        <item x="14"/>
        <item x="2"/>
        <item x="20"/>
        <item x="4"/>
        <item x="48"/>
        <item x="41"/>
        <item x="35"/>
        <item x="37"/>
        <item x="43"/>
        <item x="39"/>
        <item x="28"/>
        <item x="30"/>
        <item x="38"/>
        <item x="34"/>
        <item x="40"/>
        <item x="49"/>
        <item x="29"/>
        <item x="50"/>
        <item x="24"/>
        <item x="25"/>
        <item x="32"/>
        <item x="45"/>
        <item x="36"/>
        <item x="33"/>
        <item x="42"/>
        <item x="44"/>
        <item x="31"/>
        <item x="51"/>
        <item x="47"/>
        <item x="26"/>
        <item x="27"/>
        <item x="46"/>
        <item x="58"/>
        <item x="60"/>
        <item x="56"/>
        <item x="65"/>
        <item x="72"/>
        <item x="69"/>
        <item x="76"/>
        <item x="67"/>
        <item x="63"/>
        <item x="77"/>
        <item x="64"/>
        <item x="74"/>
        <item x="61"/>
        <item x="54"/>
        <item x="71"/>
        <item x="55"/>
        <item x="52"/>
        <item x="57"/>
        <item x="73"/>
        <item x="53"/>
        <item x="68"/>
        <item x="70"/>
        <item x="66"/>
        <item x="59"/>
        <item x="62"/>
        <item x="75"/>
        <item x="78"/>
        <item x="100"/>
        <item x="96"/>
        <item x="92"/>
        <item x="80"/>
        <item x="90"/>
        <item x="93"/>
        <item x="82"/>
        <item x="84"/>
        <item x="101"/>
        <item x="95"/>
        <item x="91"/>
        <item x="99"/>
        <item x="94"/>
        <item x="88"/>
        <item x="85"/>
        <item x="97"/>
        <item x="79"/>
        <item x="89"/>
        <item x="86"/>
        <item x="98"/>
        <item x="103"/>
        <item x="81"/>
        <item x="83"/>
        <item x="102"/>
        <item x="87"/>
        <item t="default"/>
      </items>
    </pivotField>
    <pivotField showAll="0"/>
    <pivotField showAll="0"/>
    <pivotField axis="axisCol" showAll="0">
      <items count="6">
        <item x="1"/>
        <item x="0"/>
        <item x="2"/>
        <item x="3"/>
        <item x="4"/>
        <item t="default"/>
      </items>
    </pivotField>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9"/>
  </rowFields>
  <rowItems count="13">
    <i>
      <x v="1"/>
    </i>
    <i>
      <x v="2"/>
    </i>
    <i>
      <x v="3"/>
    </i>
    <i>
      <x v="4"/>
    </i>
    <i>
      <x v="5"/>
    </i>
    <i>
      <x v="6"/>
    </i>
    <i>
      <x v="7"/>
    </i>
    <i>
      <x v="8"/>
    </i>
    <i>
      <x v="9"/>
    </i>
    <i>
      <x v="10"/>
    </i>
    <i>
      <x v="11"/>
    </i>
    <i>
      <x v="12"/>
    </i>
    <i t="grand">
      <x/>
    </i>
  </rowItems>
  <colFields count="1">
    <field x="4"/>
  </colFields>
  <colItems count="6">
    <i>
      <x/>
    </i>
    <i>
      <x v="1"/>
    </i>
    <i>
      <x v="2"/>
    </i>
    <i>
      <x v="3"/>
    </i>
    <i>
      <x v="4"/>
    </i>
    <i t="grand">
      <x/>
    </i>
  </colItems>
  <dataFields count="1">
    <dataField name="Sum of Gross_Sales" fld="6" baseField="0" baseItem="0" numFmtId="44"/>
  </dataFields>
  <pivotTableStyleInfo name="PivotStyleDark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4DA24BD-D378-4A99-B634-211381B85023}" autoFormatId="16" applyNumberFormats="0" applyBorderFormats="0" applyFontFormats="0" applyPatternFormats="0" applyAlignmentFormats="0" applyWidthHeightFormats="0">
  <queryTableRefresh nextId="15" unboundColumnsRight="3">
    <queryTableFields count="14">
      <queryTableField id="1" name="Order_ID" tableColumnId="1"/>
      <queryTableField id="2" name="Order_Date" tableColumnId="2"/>
      <queryTableField id="3" name="Sales_Rep" tableColumnId="3"/>
      <queryTableField id="4" name="Region" tableColumnId="4"/>
      <queryTableField id="5" name="Category" tableColumnId="5"/>
      <queryTableField id="6" name="Product" tableColumnId="6"/>
      <queryTableField id="7" name="Gross_Sales" tableColumnId="7"/>
      <queryTableField id="12" dataBound="0" tableColumnId="12"/>
      <queryTableField id="8" name="Cost" tableColumnId="8"/>
      <queryTableField id="10" dataBound="0" tableColumnId="10"/>
      <queryTableField id="9" name="Manager_Rating_Index" tableColumnId="9"/>
      <queryTableField id="11" dataBound="0" tableColumnId="11"/>
      <queryTableField id="14" dataBound="0" tableColumnId="14"/>
      <queryTableField id="13" dataBound="0"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BB8DAFD-533F-4F80-A670-FBFA2F1B3324}" sourceName="Category">
  <pivotTables>
    <pivotTable tabId="3" name="PivotTable2"/>
  </pivotTables>
  <data>
    <tabular pivotCacheId="41478562">
      <items count="5">
        <i x="1"/>
        <i x="0"/>
        <i x="2" s="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E88A8A4-5824-4C77-A017-BDCA21680747}" cache="Slicer_Category" caption="Category" columnCount="5" showCaption="0" style="SlicerStyleLight4"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50EAA8-F9F1-4E88-982A-5B24A7E7E419}" name="project_3" displayName="project_3" ref="A1:N110" tableType="queryTable" totalsRowShown="0">
  <tableColumns count="14">
    <tableColumn id="1" xr3:uid="{501AB9F2-66E7-43A0-97D6-5F6636C4A247}" uniqueName="1" name="Order_ID" queryTableFieldId="1" dataDxfId="11"/>
    <tableColumn id="2" xr3:uid="{B15D2FF5-B354-4CE5-8CF1-71EBA8263097}" uniqueName="2" name="Order_Date" queryTableFieldId="2" dataDxfId="10"/>
    <tableColumn id="3" xr3:uid="{38123721-2DF9-4769-AFC1-AADDA930D538}" uniqueName="3" name="Sales_Rep" queryTableFieldId="3" dataDxfId="9"/>
    <tableColumn id="4" xr3:uid="{4624C066-A9BD-4FAF-91EC-28B4AB7E2372}" uniqueName="4" name="Region" queryTableFieldId="4" dataDxfId="8"/>
    <tableColumn id="5" xr3:uid="{2F874066-E1BD-4EEE-9598-5805F9894B4F}" uniqueName="5" name="Category" queryTableFieldId="5" dataDxfId="7"/>
    <tableColumn id="6" xr3:uid="{BB48EB1D-100B-454F-931C-BB76E6B36161}" uniqueName="6" name="Product" queryTableFieldId="6" dataDxfId="6"/>
    <tableColumn id="7" xr3:uid="{D1F3B60D-0B63-4157-AD84-934DAFC71767}" uniqueName="7" name="Gross_Sales" queryTableFieldId="7" dataCellStyle="Currency"/>
    <tableColumn id="12" xr3:uid="{85F87994-2094-4AC9-9977-80116014ED07}" uniqueName="12" name="Ranking" queryTableFieldId="12" dataDxfId="2" dataCellStyle="Currency">
      <calculatedColumnFormula>_xlfn.RANK.EQ(project_3[[#This Row],[Gross_Sales]],G:G,0)</calculatedColumnFormula>
    </tableColumn>
    <tableColumn id="8" xr3:uid="{A9E3FB11-F82B-442F-A0AF-F8D74EB4BE46}" uniqueName="8" name="Cost" queryTableFieldId="8" dataCellStyle="Currency"/>
    <tableColumn id="10" xr3:uid="{352B007B-C97F-4039-BF1A-7509A8AB011A}" uniqueName="10" name="Commission rate" queryTableFieldId="10" dataDxfId="3" dataCellStyle="Percent"/>
    <tableColumn id="9" xr3:uid="{89881DB9-C6A0-4EEE-A9B0-02F250A89BCE}" uniqueName="9" name="Manager_Rating_Index" queryTableFieldId="9"/>
    <tableColumn id="11" xr3:uid="{1BCF4654-AB82-491B-9831-ED4A360C6E95}" uniqueName="11" name="Net_commision" queryTableFieldId="11" dataCellStyle="Currency">
      <calculatedColumnFormula>Calc_Net_Commission(project_3[[#This Row],[Cost]],project_3[[#This Row],[Commission rate]])</calculatedColumnFormula>
    </tableColumn>
    <tableColumn id="14" xr3:uid="{17F3796B-BC27-4020-9931-9DF0DD2AFC5B}" uniqueName="14" name="Client Rating" queryTableFieldId="14" dataDxfId="0" dataCellStyle="Currency"/>
    <tableColumn id="13" xr3:uid="{6967AEE4-745E-4C63-AE23-140C357A996C}" uniqueName="13" name="Rating" queryTableFieldId="13" dataDxfId="1">
      <calculatedColumnFormula>CHOOSE(project_3[[#This Row],[Client Rating]],$AE$6,$AE$7,$AE$8,$AE$9,$AE$10,)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F5A382-64B5-4AF6-BDFA-043EC17036AB}" name="Table2" displayName="Table2" ref="B3:B7" totalsRowShown="0">
  <autoFilter ref="B3:B7" xr:uid="{E1F5A382-64B5-4AF6-BDFA-043EC17036AB}"/>
  <sortState xmlns:xlrd2="http://schemas.microsoft.com/office/spreadsheetml/2017/richdata2" ref="B4:B7">
    <sortCondition ref="B4:B7"/>
  </sortState>
  <tableColumns count="1">
    <tableColumn id="1" xr3:uid="{5BDE0C52-380F-41A5-BD22-868C5CB92695}" name="Sales_Rep"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06D82A-6B6E-4ED4-9F75-9385C7D5234B}" name="Table3" displayName="Table3" ref="C3:C8" totalsRowShown="0">
  <autoFilter ref="C3:C8" xr:uid="{A506D82A-6B6E-4ED4-9F75-9385C7D5234B}"/>
  <sortState xmlns:xlrd2="http://schemas.microsoft.com/office/spreadsheetml/2017/richdata2" ref="C4:C8">
    <sortCondition ref="C4:C8"/>
  </sortState>
  <tableColumns count="1">
    <tableColumn id="1" xr3:uid="{A22E1547-9678-4E4E-B618-4F975A2993FC}" name="Categor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E4A35A99-9A45-4F19-874E-B002EAD035D2}" sourceName="Order_Date">
  <pivotTables>
    <pivotTable tabId="3" name="PivotTable2"/>
  </pivotTables>
  <state minimalRefreshVersion="6" lastRefreshVersion="6" pivotCacheId="41478562" filterType="dateBetween">
    <selection startDate="2021-10-01T00:00:00" endDate="2022-06-30T00:00:00"/>
    <bounds startDate="2018-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9C99833B-425F-46B7-9DA8-AA58EF0BE76B}" cache="NativeTimeline_Order_Date" caption="Order_Date" level="1" selectionLevel="1" scrollPosition="2021-07-14T00:00:00" style="TimeSlicerStyleLight4"/>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9C8E3-9470-4DD4-B68C-8DB2BB8B2DC1}">
  <sheetPr codeName="Sheet1"/>
  <dimension ref="A1:AE114"/>
  <sheetViews>
    <sheetView tabSelected="1" workbookViewId="0">
      <selection activeCell="P20" sqref="P20"/>
    </sheetView>
  </sheetViews>
  <sheetFormatPr defaultRowHeight="15" x14ac:dyDescent="0.25"/>
  <cols>
    <col min="1" max="1" width="11.28515625" bestFit="1" customWidth="1"/>
    <col min="2" max="2" width="13.5703125" bestFit="1" customWidth="1"/>
    <col min="3" max="3" width="12.85546875" bestFit="1" customWidth="1"/>
    <col min="4" max="4" width="9.42578125" bestFit="1" customWidth="1"/>
    <col min="5" max="5" width="11.140625" bestFit="1" customWidth="1"/>
    <col min="6" max="6" width="15.7109375" bestFit="1" customWidth="1"/>
    <col min="7" max="7" width="13.85546875" style="8" bestFit="1" customWidth="1"/>
    <col min="8" max="8" width="13.85546875" style="11" customWidth="1"/>
    <col min="9" max="9" width="12.28515625" style="8" bestFit="1" customWidth="1"/>
    <col min="10" max="10" width="16" style="9" bestFit="1" customWidth="1"/>
    <col min="11" max="11" width="24.140625" bestFit="1" customWidth="1"/>
    <col min="12" max="12" width="16.5703125" style="8" bestFit="1" customWidth="1"/>
    <col min="13" max="13" width="13.85546875" style="8" bestFit="1" customWidth="1"/>
    <col min="14" max="14" width="12.28515625" customWidth="1"/>
    <col min="15" max="15" width="16.140625" customWidth="1"/>
    <col min="16" max="16" width="25.28515625" bestFit="1" customWidth="1"/>
    <col min="17" max="17" width="8.85546875" customWidth="1"/>
    <col min="21" max="21" width="10.42578125" bestFit="1" customWidth="1"/>
  </cols>
  <sheetData>
    <row r="1" spans="1:31" x14ac:dyDescent="0.25">
      <c r="A1" t="s">
        <v>0</v>
      </c>
      <c r="B1" t="s">
        <v>1</v>
      </c>
      <c r="C1" t="s">
        <v>2</v>
      </c>
      <c r="D1" t="s">
        <v>3</v>
      </c>
      <c r="E1" t="s">
        <v>4</v>
      </c>
      <c r="F1" t="s">
        <v>5</v>
      </c>
      <c r="G1" s="8" t="s">
        <v>6</v>
      </c>
      <c r="H1" s="11" t="s">
        <v>165</v>
      </c>
      <c r="I1" s="8" t="s">
        <v>7</v>
      </c>
      <c r="J1" s="9" t="s">
        <v>163</v>
      </c>
      <c r="K1" t="s">
        <v>8</v>
      </c>
      <c r="L1" s="8" t="s">
        <v>164</v>
      </c>
      <c r="M1" s="8" t="s">
        <v>175</v>
      </c>
      <c r="N1" t="s">
        <v>168</v>
      </c>
    </row>
    <row r="2" spans="1:31" x14ac:dyDescent="0.25">
      <c r="A2" s="1" t="s">
        <v>9</v>
      </c>
      <c r="B2" s="2">
        <v>43408</v>
      </c>
      <c r="C2" s="1" t="s">
        <v>10</v>
      </c>
      <c r="D2" s="1" t="s">
        <v>11</v>
      </c>
      <c r="E2" s="1" t="s">
        <v>12</v>
      </c>
      <c r="F2" s="1" t="s">
        <v>13</v>
      </c>
      <c r="G2" s="8">
        <v>24000</v>
      </c>
      <c r="H2" s="11">
        <f>_xlfn.RANK.EQ(project_3[[#This Row],[Gross_Sales]],G:G,0)</f>
        <v>82</v>
      </c>
      <c r="I2" s="8">
        <v>16948</v>
      </c>
      <c r="J2" s="9">
        <v>0</v>
      </c>
      <c r="K2">
        <v>1</v>
      </c>
      <c r="L2" s="8">
        <f>Calc_Net_Commission(project_3[[#This Row],[Cost]],project_3[[#This Row],[Commission rate]])</f>
        <v>0</v>
      </c>
      <c r="M2" s="11">
        <v>1</v>
      </c>
      <c r="N2" t="str">
        <f>CHOOSE(project_3[[#This Row],[Client Rating]],$AE$6,$AE$7,$AE$8,$AE$9,$AE$10,)</f>
        <v>Tragic</v>
      </c>
      <c r="P2" t="s">
        <v>167</v>
      </c>
    </row>
    <row r="3" spans="1:31" x14ac:dyDescent="0.25">
      <c r="A3" s="1" t="s">
        <v>14</v>
      </c>
      <c r="B3" s="2">
        <v>43215</v>
      </c>
      <c r="C3" s="1" t="s">
        <v>15</v>
      </c>
      <c r="D3" s="1" t="s">
        <v>11</v>
      </c>
      <c r="E3" s="1" t="s">
        <v>16</v>
      </c>
      <c r="F3" s="1" t="s">
        <v>17</v>
      </c>
      <c r="G3" s="8">
        <v>61400</v>
      </c>
      <c r="H3" s="11">
        <f>_xlfn.RANK.EQ(project_3[[#This Row],[Gross_Sales]],G:G,0)</f>
        <v>35</v>
      </c>
      <c r="J3" s="9">
        <v>0.04</v>
      </c>
      <c r="K3">
        <v>5</v>
      </c>
      <c r="L3" s="8">
        <f>Calc_Net_Commission(project_3[[#This Row],[Cost]],project_3[[#This Row],[Commission rate]])</f>
        <v>0</v>
      </c>
      <c r="M3" s="11">
        <v>3</v>
      </c>
      <c r="N3" t="str">
        <f>CHOOSE(project_3[[#This Row],[Client Rating]],$AE$6,$AE$7,$AE$8,$AE$9,$AE$10,)</f>
        <v>Mediocare</v>
      </c>
      <c r="P3">
        <f t="array" ref="P3">_xlfn.MODE.MULT(G:G)</f>
        <v>15000</v>
      </c>
    </row>
    <row r="4" spans="1:31" x14ac:dyDescent="0.25">
      <c r="A4" s="1" t="s">
        <v>18</v>
      </c>
      <c r="B4" s="2">
        <v>43426</v>
      </c>
      <c r="C4" s="1" t="s">
        <v>19</v>
      </c>
      <c r="D4" s="1" t="s">
        <v>11</v>
      </c>
      <c r="E4" s="1" t="s">
        <v>20</v>
      </c>
      <c r="F4" s="1" t="s">
        <v>21</v>
      </c>
      <c r="G4" s="8">
        <v>50000</v>
      </c>
      <c r="H4" s="11">
        <f>_xlfn.RANK.EQ(project_3[[#This Row],[Gross_Sales]],G:G,0)</f>
        <v>54</v>
      </c>
      <c r="I4" s="8">
        <v>20013</v>
      </c>
      <c r="J4" s="9">
        <v>0.08</v>
      </c>
      <c r="K4">
        <v>4</v>
      </c>
      <c r="L4" s="8">
        <f>Calc_Net_Commission(project_3[[#This Row],[Cost]],project_3[[#This Row],[Commission rate]])</f>
        <v>1360.884</v>
      </c>
      <c r="M4" s="11">
        <v>3</v>
      </c>
      <c r="N4" t="str">
        <f>CHOOSE(project_3[[#This Row],[Client Rating]],$AE$6,$AE$7,$AE$8,$AE$9,$AE$10,)</f>
        <v>Mediocare</v>
      </c>
    </row>
    <row r="5" spans="1:31" x14ac:dyDescent="0.25">
      <c r="A5" s="1" t="s">
        <v>22</v>
      </c>
      <c r="B5" s="2">
        <v>43120</v>
      </c>
      <c r="C5" s="1" t="s">
        <v>15</v>
      </c>
      <c r="D5" s="1" t="s">
        <v>23</v>
      </c>
      <c r="E5" s="1" t="s">
        <v>24</v>
      </c>
      <c r="F5" s="1" t="s">
        <v>25</v>
      </c>
      <c r="G5" s="8">
        <v>15000</v>
      </c>
      <c r="H5" s="11">
        <f>_xlfn.RANK.EQ(project_3[[#This Row],[Gross_Sales]],G:G,0)</f>
        <v>99</v>
      </c>
      <c r="I5" s="8">
        <v>9169</v>
      </c>
      <c r="J5" s="9">
        <v>0.19</v>
      </c>
      <c r="K5">
        <v>5</v>
      </c>
      <c r="L5" s="8">
        <f>Calc_Net_Commission(project_3[[#This Row],[Cost]],project_3[[#This Row],[Commission rate]])</f>
        <v>1480.7935</v>
      </c>
      <c r="M5" s="11">
        <v>3</v>
      </c>
      <c r="N5" t="str">
        <f>CHOOSE(project_3[[#This Row],[Client Rating]],$AE$6,$AE$7,$AE$8,$AE$9,$AE$10,)</f>
        <v>Mediocare</v>
      </c>
      <c r="AD5" t="s">
        <v>169</v>
      </c>
    </row>
    <row r="6" spans="1:31" x14ac:dyDescent="0.25">
      <c r="A6" s="1" t="s">
        <v>26</v>
      </c>
      <c r="B6" s="2">
        <v>43455</v>
      </c>
      <c r="C6" s="1" t="s">
        <v>27</v>
      </c>
      <c r="D6" s="1" t="s">
        <v>11</v>
      </c>
      <c r="E6" s="1" t="s">
        <v>16</v>
      </c>
      <c r="F6" s="1" t="s">
        <v>28</v>
      </c>
      <c r="G6" s="8">
        <v>87300</v>
      </c>
      <c r="H6" s="11">
        <f>_xlfn.RANK.EQ(project_3[[#This Row],[Gross_Sales]],G:G,0)</f>
        <v>7</v>
      </c>
      <c r="I6" s="8">
        <v>67598</v>
      </c>
      <c r="J6" s="9">
        <v>0.12</v>
      </c>
      <c r="K6">
        <v>5</v>
      </c>
      <c r="L6" s="8">
        <f>Calc_Net_Commission(project_3[[#This Row],[Cost]],project_3[[#This Row],[Commission rate]])</f>
        <v>6894.9959999999992</v>
      </c>
      <c r="M6" s="11">
        <v>2</v>
      </c>
      <c r="N6" t="str">
        <f>CHOOSE(project_3[[#This Row],[Client Rating]],$AE$6,$AE$7,$AE$8,$AE$9,$AE$10,)</f>
        <v>Bad</v>
      </c>
      <c r="AD6">
        <v>1</v>
      </c>
      <c r="AE6" t="s">
        <v>174</v>
      </c>
    </row>
    <row r="7" spans="1:31" x14ac:dyDescent="0.25">
      <c r="A7" s="1" t="s">
        <v>29</v>
      </c>
      <c r="B7" s="2">
        <v>43103</v>
      </c>
      <c r="C7" s="1" t="s">
        <v>10</v>
      </c>
      <c r="D7" s="1" t="s">
        <v>30</v>
      </c>
      <c r="E7" s="1" t="s">
        <v>20</v>
      </c>
      <c r="F7" s="1" t="s">
        <v>21</v>
      </c>
      <c r="G7" s="8">
        <v>48600</v>
      </c>
      <c r="H7" s="11">
        <f>_xlfn.RANK.EQ(project_3[[#This Row],[Gross_Sales]],G:G,0)</f>
        <v>60</v>
      </c>
      <c r="I7" s="8">
        <v>31254</v>
      </c>
      <c r="J7" s="9">
        <v>0.17</v>
      </c>
      <c r="K7">
        <v>2</v>
      </c>
      <c r="L7" s="8">
        <f>Calc_Net_Commission(project_3[[#This Row],[Cost]],project_3[[#This Row],[Commission rate]])</f>
        <v>4516.2029999999995</v>
      </c>
      <c r="M7" s="11">
        <v>2</v>
      </c>
      <c r="N7" t="str">
        <f>CHOOSE(project_3[[#This Row],[Client Rating]],$AE$6,$AE$7,$AE$8,$AE$9,$AE$10,)</f>
        <v>Bad</v>
      </c>
      <c r="AD7">
        <v>2</v>
      </c>
      <c r="AE7" t="s">
        <v>170</v>
      </c>
    </row>
    <row r="8" spans="1:31" x14ac:dyDescent="0.25">
      <c r="A8" s="1" t="s">
        <v>31</v>
      </c>
      <c r="B8" s="2">
        <v>43369</v>
      </c>
      <c r="C8" s="1" t="s">
        <v>10</v>
      </c>
      <c r="D8" s="1" t="s">
        <v>11</v>
      </c>
      <c r="E8" s="1" t="s">
        <v>12</v>
      </c>
      <c r="F8" s="1" t="s">
        <v>13</v>
      </c>
      <c r="G8" s="8">
        <v>20100</v>
      </c>
      <c r="H8" s="11">
        <f>_xlfn.RANK.EQ(project_3[[#This Row],[Gross_Sales]],G:G,0)</f>
        <v>89</v>
      </c>
      <c r="I8" s="8">
        <v>9335</v>
      </c>
      <c r="J8" s="9">
        <v>0.06</v>
      </c>
      <c r="K8">
        <v>3</v>
      </c>
      <c r="L8" s="8">
        <f>Calc_Net_Commission(project_3[[#This Row],[Cost]],project_3[[#This Row],[Commission rate]])</f>
        <v>476.08499999999998</v>
      </c>
      <c r="M8" s="11">
        <v>4</v>
      </c>
      <c r="N8" t="str">
        <f>CHOOSE(project_3[[#This Row],[Client Rating]],$AE$6,$AE$7,$AE$8,$AE$9,$AE$10,)</f>
        <v>Good</v>
      </c>
      <c r="AD8">
        <v>3</v>
      </c>
      <c r="AE8" t="s">
        <v>171</v>
      </c>
    </row>
    <row r="9" spans="1:31" x14ac:dyDescent="0.25">
      <c r="A9" s="1" t="s">
        <v>32</v>
      </c>
      <c r="B9" s="2">
        <v>43111</v>
      </c>
      <c r="C9" s="1" t="s">
        <v>15</v>
      </c>
      <c r="D9" s="1" t="s">
        <v>11</v>
      </c>
      <c r="E9" s="1" t="s">
        <v>16</v>
      </c>
      <c r="F9" s="1" t="s">
        <v>17</v>
      </c>
      <c r="G9" s="8">
        <v>57300</v>
      </c>
      <c r="H9" s="11">
        <f>_xlfn.RANK.EQ(project_3[[#This Row],[Gross_Sales]],G:G,0)</f>
        <v>43</v>
      </c>
      <c r="I9" s="8">
        <v>29701</v>
      </c>
      <c r="J9" s="9">
        <v>0.1</v>
      </c>
      <c r="K9">
        <v>3</v>
      </c>
      <c r="L9" s="8">
        <f>Calc_Net_Commission(project_3[[#This Row],[Cost]],project_3[[#This Row],[Commission rate]])</f>
        <v>2524.585</v>
      </c>
      <c r="M9" s="11">
        <v>3</v>
      </c>
      <c r="N9" t="str">
        <f>CHOOSE(project_3[[#This Row],[Client Rating]],$AE$6,$AE$7,$AE$8,$AE$9,$AE$10,)</f>
        <v>Mediocare</v>
      </c>
      <c r="AD9">
        <v>4</v>
      </c>
      <c r="AE9" t="s">
        <v>172</v>
      </c>
    </row>
    <row r="10" spans="1:31" x14ac:dyDescent="0.25">
      <c r="A10" s="1" t="s">
        <v>33</v>
      </c>
      <c r="B10" s="2">
        <v>43306</v>
      </c>
      <c r="C10" s="1" t="s">
        <v>27</v>
      </c>
      <c r="D10" s="1" t="s">
        <v>11</v>
      </c>
      <c r="E10" s="1" t="s">
        <v>24</v>
      </c>
      <c r="F10" s="1" t="s">
        <v>25</v>
      </c>
      <c r="G10" s="8">
        <v>15600</v>
      </c>
      <c r="H10" s="11">
        <f>_xlfn.RANK.EQ(project_3[[#This Row],[Gross_Sales]],G:G,0)</f>
        <v>96</v>
      </c>
      <c r="I10" s="8">
        <v>8239</v>
      </c>
      <c r="J10" s="9">
        <v>0.16</v>
      </c>
      <c r="K10">
        <v>1</v>
      </c>
      <c r="L10" s="8">
        <f>Calc_Net_Commission(project_3[[#This Row],[Cost]],project_3[[#This Row],[Commission rate]])</f>
        <v>1120.5039999999999</v>
      </c>
      <c r="M10" s="11">
        <v>3</v>
      </c>
      <c r="N10" t="str">
        <f>CHOOSE(project_3[[#This Row],[Client Rating]],$AE$6,$AE$7,$AE$8,$AE$9,$AE$10,)</f>
        <v>Mediocare</v>
      </c>
      <c r="AD10">
        <v>5</v>
      </c>
      <c r="AE10" t="s">
        <v>173</v>
      </c>
    </row>
    <row r="11" spans="1:31" x14ac:dyDescent="0.25">
      <c r="A11" s="1" t="s">
        <v>34</v>
      </c>
      <c r="B11" s="2">
        <v>43149</v>
      </c>
      <c r="C11" s="1" t="s">
        <v>15</v>
      </c>
      <c r="D11" s="1" t="s">
        <v>23</v>
      </c>
      <c r="E11" s="1" t="s">
        <v>16</v>
      </c>
      <c r="F11" s="1" t="s">
        <v>17</v>
      </c>
      <c r="G11" s="8">
        <v>75600</v>
      </c>
      <c r="H11" s="11">
        <f>_xlfn.RANK.EQ(project_3[[#This Row],[Gross_Sales]],G:G,0)</f>
        <v>17</v>
      </c>
      <c r="I11" s="8">
        <v>53917</v>
      </c>
      <c r="J11" s="9">
        <v>0.18</v>
      </c>
      <c r="K11">
        <v>4</v>
      </c>
      <c r="L11" s="8">
        <f>Calc_Net_Commission(project_3[[#This Row],[Cost]],project_3[[#This Row],[Commission rate]])</f>
        <v>8249.3009999999995</v>
      </c>
      <c r="M11" s="11">
        <v>2</v>
      </c>
      <c r="N11" t="str">
        <f>CHOOSE(project_3[[#This Row],[Client Rating]],$AE$6,$AE$7,$AE$8,$AE$9,$AE$10,)</f>
        <v>Bad</v>
      </c>
    </row>
    <row r="12" spans="1:31" x14ac:dyDescent="0.25">
      <c r="A12" s="1" t="s">
        <v>35</v>
      </c>
      <c r="B12" s="2">
        <v>43353</v>
      </c>
      <c r="C12" s="1" t="s">
        <v>10</v>
      </c>
      <c r="D12" s="1" t="s">
        <v>11</v>
      </c>
      <c r="E12" s="1" t="s">
        <v>36</v>
      </c>
      <c r="F12" s="1" t="s">
        <v>37</v>
      </c>
      <c r="G12" s="8">
        <v>40100</v>
      </c>
      <c r="H12" s="11">
        <f>_xlfn.RANK.EQ(project_3[[#This Row],[Gross_Sales]],G:G,0)</f>
        <v>71</v>
      </c>
      <c r="I12" s="8">
        <v>24639</v>
      </c>
      <c r="J12" s="9">
        <v>0.05</v>
      </c>
      <c r="K12">
        <v>2</v>
      </c>
      <c r="L12" s="8">
        <f>Calc_Net_Commission(project_3[[#This Row],[Cost]],project_3[[#This Row],[Commission rate]])</f>
        <v>1047.1575</v>
      </c>
      <c r="M12" s="11">
        <v>3</v>
      </c>
      <c r="N12" t="str">
        <f>CHOOSE(project_3[[#This Row],[Client Rating]],$AE$6,$AE$7,$AE$8,$AE$9,$AE$10,)</f>
        <v>Mediocare</v>
      </c>
    </row>
    <row r="13" spans="1:31" x14ac:dyDescent="0.25">
      <c r="A13" s="1" t="s">
        <v>38</v>
      </c>
      <c r="B13" s="2">
        <v>43136</v>
      </c>
      <c r="C13" s="1" t="s">
        <v>39</v>
      </c>
      <c r="D13" s="1" t="s">
        <v>40</v>
      </c>
      <c r="E13" s="1" t="s">
        <v>12</v>
      </c>
      <c r="F13" s="1" t="s">
        <v>41</v>
      </c>
      <c r="G13" s="8">
        <v>16900</v>
      </c>
      <c r="H13" s="11">
        <f>_xlfn.RANK.EQ(project_3[[#This Row],[Gross_Sales]],G:G,0)</f>
        <v>92</v>
      </c>
      <c r="I13" s="8">
        <v>13020</v>
      </c>
      <c r="J13" s="9">
        <v>0.02</v>
      </c>
      <c r="K13">
        <v>5</v>
      </c>
      <c r="L13" s="8">
        <f>Calc_Net_Commission(project_3[[#This Row],[Cost]],project_3[[#This Row],[Commission rate]])</f>
        <v>221.34</v>
      </c>
      <c r="M13" s="11">
        <v>4</v>
      </c>
      <c r="N13" t="str">
        <f>CHOOSE(project_3[[#This Row],[Client Rating]],$AE$6,$AE$7,$AE$8,$AE$9,$AE$10,)</f>
        <v>Good</v>
      </c>
    </row>
    <row r="14" spans="1:31" x14ac:dyDescent="0.25">
      <c r="A14" s="1" t="s">
        <v>42</v>
      </c>
      <c r="B14" s="2">
        <v>43108</v>
      </c>
      <c r="C14" s="1" t="s">
        <v>15</v>
      </c>
      <c r="D14" s="1" t="s">
        <v>30</v>
      </c>
      <c r="E14" s="1" t="s">
        <v>36</v>
      </c>
      <c r="F14" s="1" t="s">
        <v>37</v>
      </c>
      <c r="G14" s="8">
        <v>89600</v>
      </c>
      <c r="H14" s="11">
        <f>_xlfn.RANK.EQ(project_3[[#This Row],[Gross_Sales]],G:G,0)</f>
        <v>2</v>
      </c>
      <c r="I14" s="8">
        <v>44462</v>
      </c>
      <c r="J14" s="9">
        <v>0.1</v>
      </c>
      <c r="K14">
        <v>1</v>
      </c>
      <c r="L14" s="8">
        <f>Calc_Net_Commission(project_3[[#This Row],[Cost]],project_3[[#This Row],[Commission rate]])</f>
        <v>3779.27</v>
      </c>
      <c r="M14" s="11">
        <v>3</v>
      </c>
      <c r="N14" t="str">
        <f>CHOOSE(project_3[[#This Row],[Client Rating]],$AE$6,$AE$7,$AE$8,$AE$9,$AE$10,)</f>
        <v>Mediocare</v>
      </c>
    </row>
    <row r="15" spans="1:31" x14ac:dyDescent="0.25">
      <c r="A15" s="1" t="s">
        <v>43</v>
      </c>
      <c r="B15" s="2">
        <v>43313</v>
      </c>
      <c r="C15" s="1" t="s">
        <v>19</v>
      </c>
      <c r="D15" s="1" t="s">
        <v>30</v>
      </c>
      <c r="E15" s="1" t="s">
        <v>20</v>
      </c>
      <c r="F15" s="1" t="s">
        <v>21</v>
      </c>
      <c r="G15" s="8">
        <v>50200</v>
      </c>
      <c r="H15" s="11">
        <f>_xlfn.RANK.EQ(project_3[[#This Row],[Gross_Sales]],G:G,0)</f>
        <v>53</v>
      </c>
      <c r="J15" s="9">
        <v>0.01</v>
      </c>
      <c r="K15">
        <v>2</v>
      </c>
      <c r="L15" s="8">
        <f>Calc_Net_Commission(project_3[[#This Row],[Cost]],project_3[[#This Row],[Commission rate]])</f>
        <v>0</v>
      </c>
      <c r="M15" s="11">
        <v>5</v>
      </c>
      <c r="N15" t="str">
        <f>CHOOSE(project_3[[#This Row],[Client Rating]],$AE$6,$AE$7,$AE$8,$AE$9,$AE$10,)</f>
        <v>Excellent</v>
      </c>
    </row>
    <row r="16" spans="1:31" x14ac:dyDescent="0.25">
      <c r="A16" s="1" t="s">
        <v>44</v>
      </c>
      <c r="B16" s="2">
        <v>43369</v>
      </c>
      <c r="C16" s="1" t="s">
        <v>19</v>
      </c>
      <c r="D16" s="1" t="s">
        <v>40</v>
      </c>
      <c r="E16" s="1" t="s">
        <v>24</v>
      </c>
      <c r="F16" s="1" t="s">
        <v>45</v>
      </c>
      <c r="G16" s="8">
        <v>46000</v>
      </c>
      <c r="H16" s="11">
        <f>_xlfn.RANK.EQ(project_3[[#This Row],[Gross_Sales]],G:G,0)</f>
        <v>65</v>
      </c>
      <c r="J16" s="9">
        <v>0.09</v>
      </c>
      <c r="K16">
        <v>5</v>
      </c>
      <c r="L16" s="8">
        <f>Calc_Net_Commission(project_3[[#This Row],[Cost]],project_3[[#This Row],[Commission rate]])</f>
        <v>0</v>
      </c>
      <c r="M16" s="11">
        <v>1</v>
      </c>
      <c r="N16" t="str">
        <f>CHOOSE(project_3[[#This Row],[Client Rating]],$AE$6,$AE$7,$AE$8,$AE$9,$AE$10,)</f>
        <v>Tragic</v>
      </c>
    </row>
    <row r="17" spans="1:14" x14ac:dyDescent="0.25">
      <c r="A17" s="1" t="s">
        <v>46</v>
      </c>
      <c r="B17" s="2">
        <v>43423</v>
      </c>
      <c r="C17" s="1" t="s">
        <v>15</v>
      </c>
      <c r="D17" s="1" t="s">
        <v>23</v>
      </c>
      <c r="E17" s="1" t="s">
        <v>24</v>
      </c>
      <c r="F17" s="1" t="s">
        <v>25</v>
      </c>
      <c r="G17" s="8">
        <v>56900</v>
      </c>
      <c r="H17" s="11">
        <f>_xlfn.RANK.EQ(project_3[[#This Row],[Gross_Sales]],G:G,0)</f>
        <v>45</v>
      </c>
      <c r="I17" s="8">
        <v>43559</v>
      </c>
      <c r="J17" s="9">
        <v>0.09</v>
      </c>
      <c r="K17">
        <v>2</v>
      </c>
      <c r="L17" s="8">
        <f>Calc_Net_Commission(project_3[[#This Row],[Cost]],project_3[[#This Row],[Commission rate]])</f>
        <v>3332.2635</v>
      </c>
      <c r="M17" s="11">
        <v>3</v>
      </c>
      <c r="N17" t="str">
        <f>CHOOSE(project_3[[#This Row],[Client Rating]],$AE$6,$AE$7,$AE$8,$AE$9,$AE$10,)</f>
        <v>Mediocare</v>
      </c>
    </row>
    <row r="18" spans="1:14" x14ac:dyDescent="0.25">
      <c r="A18" s="1" t="s">
        <v>47</v>
      </c>
      <c r="B18" s="2">
        <v>43375</v>
      </c>
      <c r="C18" s="1" t="s">
        <v>15</v>
      </c>
      <c r="D18" s="1" t="s">
        <v>23</v>
      </c>
      <c r="E18" s="1" t="s">
        <v>24</v>
      </c>
      <c r="F18" s="1" t="s">
        <v>25</v>
      </c>
      <c r="G18" s="8">
        <v>21600</v>
      </c>
      <c r="H18" s="11">
        <f>_xlfn.RANK.EQ(project_3[[#This Row],[Gross_Sales]],G:G,0)</f>
        <v>87</v>
      </c>
      <c r="I18" s="8">
        <v>15939</v>
      </c>
      <c r="J18" s="9">
        <v>0.01</v>
      </c>
      <c r="K18">
        <v>3</v>
      </c>
      <c r="L18" s="8">
        <f>Calc_Net_Commission(project_3[[#This Row],[Cost]],project_3[[#This Row],[Commission rate]])</f>
        <v>135.48150000000001</v>
      </c>
      <c r="M18" s="11">
        <v>5</v>
      </c>
      <c r="N18" t="str">
        <f>CHOOSE(project_3[[#This Row],[Client Rating]],$AE$6,$AE$7,$AE$8,$AE$9,$AE$10,)</f>
        <v>Excellent</v>
      </c>
    </row>
    <row r="19" spans="1:14" x14ac:dyDescent="0.25">
      <c r="A19" s="1" t="s">
        <v>48</v>
      </c>
      <c r="B19" s="2">
        <v>43332</v>
      </c>
      <c r="C19" s="1" t="s">
        <v>15</v>
      </c>
      <c r="D19" s="1" t="s">
        <v>40</v>
      </c>
      <c r="E19" s="1" t="s">
        <v>36</v>
      </c>
      <c r="F19" s="1" t="s">
        <v>37</v>
      </c>
      <c r="G19" s="8">
        <v>65900</v>
      </c>
      <c r="H19" s="11">
        <f>_xlfn.RANK.EQ(project_3[[#This Row],[Gross_Sales]],G:G,0)</f>
        <v>29</v>
      </c>
      <c r="I19" s="8">
        <v>48200</v>
      </c>
      <c r="J19" s="9">
        <v>0.01</v>
      </c>
      <c r="K19">
        <v>3</v>
      </c>
      <c r="L19" s="8">
        <f>Calc_Net_Commission(project_3[[#This Row],[Cost]],project_3[[#This Row],[Commission rate]])</f>
        <v>409.7</v>
      </c>
      <c r="M19" s="11">
        <v>1</v>
      </c>
      <c r="N19" t="str">
        <f>CHOOSE(project_3[[#This Row],[Client Rating]],$AE$6,$AE$7,$AE$8,$AE$9,$AE$10,)</f>
        <v>Tragic</v>
      </c>
    </row>
    <row r="20" spans="1:14" x14ac:dyDescent="0.25">
      <c r="A20" s="1" t="s">
        <v>49</v>
      </c>
      <c r="B20" s="2">
        <v>43225</v>
      </c>
      <c r="C20" s="1" t="s">
        <v>15</v>
      </c>
      <c r="D20" s="1" t="s">
        <v>40</v>
      </c>
      <c r="E20" s="1" t="s">
        <v>16</v>
      </c>
      <c r="F20" s="1" t="s">
        <v>17</v>
      </c>
      <c r="G20" s="8">
        <v>14000</v>
      </c>
      <c r="H20" s="11">
        <f>_xlfn.RANK.EQ(project_3[[#This Row],[Gross_Sales]],G:G,0)</f>
        <v>106</v>
      </c>
      <c r="I20" s="8">
        <v>10757</v>
      </c>
      <c r="J20" s="9">
        <v>0.03</v>
      </c>
      <c r="K20">
        <v>3</v>
      </c>
      <c r="L20" s="8">
        <f>Calc_Net_Commission(project_3[[#This Row],[Cost]],project_3[[#This Row],[Commission rate]])</f>
        <v>274.30349999999999</v>
      </c>
      <c r="M20" s="11">
        <v>5</v>
      </c>
      <c r="N20" t="str">
        <f>CHOOSE(project_3[[#This Row],[Client Rating]],$AE$6,$AE$7,$AE$8,$AE$9,$AE$10,)</f>
        <v>Excellent</v>
      </c>
    </row>
    <row r="21" spans="1:14" x14ac:dyDescent="0.25">
      <c r="A21" s="1" t="s">
        <v>50</v>
      </c>
      <c r="B21" s="2">
        <v>43140</v>
      </c>
      <c r="C21" s="1" t="s">
        <v>19</v>
      </c>
      <c r="D21" s="1" t="s">
        <v>30</v>
      </c>
      <c r="E21" s="1" t="s">
        <v>24</v>
      </c>
      <c r="F21" s="1" t="s">
        <v>45</v>
      </c>
      <c r="G21" s="8">
        <v>36200</v>
      </c>
      <c r="H21" s="11">
        <f>_xlfn.RANK.EQ(project_3[[#This Row],[Gross_Sales]],G:G,0)</f>
        <v>74</v>
      </c>
      <c r="I21" s="8">
        <v>14766</v>
      </c>
      <c r="J21" s="9">
        <v>0.2</v>
      </c>
      <c r="K21">
        <v>4</v>
      </c>
      <c r="L21" s="8">
        <f>Calc_Net_Commission(project_3[[#This Row],[Cost]],project_3[[#This Row],[Commission rate]])</f>
        <v>2510.2200000000003</v>
      </c>
      <c r="M21" s="11">
        <v>4</v>
      </c>
      <c r="N21" t="str">
        <f>CHOOSE(project_3[[#This Row],[Client Rating]],$AE$6,$AE$7,$AE$8,$AE$9,$AE$10,)</f>
        <v>Good</v>
      </c>
    </row>
    <row r="22" spans="1:14" x14ac:dyDescent="0.25">
      <c r="A22" s="1" t="s">
        <v>51</v>
      </c>
      <c r="B22" s="2">
        <v>43359</v>
      </c>
      <c r="C22" s="1" t="s">
        <v>27</v>
      </c>
      <c r="D22" s="1" t="s">
        <v>40</v>
      </c>
      <c r="E22" s="1" t="s">
        <v>12</v>
      </c>
      <c r="F22" s="1" t="s">
        <v>41</v>
      </c>
      <c r="G22" s="8">
        <v>87000</v>
      </c>
      <c r="H22" s="11">
        <f>_xlfn.RANK.EQ(project_3[[#This Row],[Gross_Sales]],G:G,0)</f>
        <v>8</v>
      </c>
      <c r="I22" s="8">
        <v>38250</v>
      </c>
      <c r="J22" s="9">
        <v>0.19</v>
      </c>
      <c r="K22">
        <v>1</v>
      </c>
      <c r="L22" s="8">
        <f>Calc_Net_Commission(project_3[[#This Row],[Cost]],project_3[[#This Row],[Commission rate]])</f>
        <v>6177.375</v>
      </c>
      <c r="M22" s="11">
        <v>4</v>
      </c>
      <c r="N22" t="str">
        <f>CHOOSE(project_3[[#This Row],[Client Rating]],$AE$6,$AE$7,$AE$8,$AE$9,$AE$10,)</f>
        <v>Good</v>
      </c>
    </row>
    <row r="23" spans="1:14" x14ac:dyDescent="0.25">
      <c r="A23" s="1" t="s">
        <v>52</v>
      </c>
      <c r="B23" s="2">
        <v>43427</v>
      </c>
      <c r="C23" s="1" t="s">
        <v>10</v>
      </c>
      <c r="D23" s="1" t="s">
        <v>40</v>
      </c>
      <c r="E23" s="1" t="s">
        <v>24</v>
      </c>
      <c r="F23" s="1" t="s">
        <v>25</v>
      </c>
      <c r="G23" s="8">
        <v>67100</v>
      </c>
      <c r="H23" s="11">
        <f>_xlfn.RANK.EQ(project_3[[#This Row],[Gross_Sales]],G:G,0)</f>
        <v>27</v>
      </c>
      <c r="I23" s="8">
        <v>29642</v>
      </c>
      <c r="J23" s="9">
        <v>0.02</v>
      </c>
      <c r="K23">
        <v>1</v>
      </c>
      <c r="L23" s="8">
        <f>Calc_Net_Commission(project_3[[#This Row],[Cost]],project_3[[#This Row],[Commission rate]])</f>
        <v>503.91400000000004</v>
      </c>
      <c r="M23" s="11">
        <v>4</v>
      </c>
      <c r="N23" t="str">
        <f>CHOOSE(project_3[[#This Row],[Client Rating]],$AE$6,$AE$7,$AE$8,$AE$9,$AE$10,)</f>
        <v>Good</v>
      </c>
    </row>
    <row r="24" spans="1:14" x14ac:dyDescent="0.25">
      <c r="A24" s="1" t="s">
        <v>53</v>
      </c>
      <c r="B24" s="2">
        <v>43405</v>
      </c>
      <c r="C24" s="1" t="s">
        <v>19</v>
      </c>
      <c r="D24" s="1" t="s">
        <v>23</v>
      </c>
      <c r="E24" s="1" t="s">
        <v>36</v>
      </c>
      <c r="F24" s="1" t="s">
        <v>37</v>
      </c>
      <c r="G24" s="8">
        <v>72000</v>
      </c>
      <c r="H24" s="11">
        <f>_xlfn.RANK.EQ(project_3[[#This Row],[Gross_Sales]],G:G,0)</f>
        <v>19</v>
      </c>
      <c r="I24" s="8">
        <v>49415</v>
      </c>
      <c r="J24" s="9">
        <v>0.11</v>
      </c>
      <c r="K24">
        <v>4</v>
      </c>
      <c r="L24" s="8">
        <f>Calc_Net_Commission(project_3[[#This Row],[Cost]],project_3[[#This Row],[Commission rate]])</f>
        <v>4620.3024999999998</v>
      </c>
      <c r="M24" s="11">
        <v>2</v>
      </c>
      <c r="N24" t="str">
        <f>CHOOSE(project_3[[#This Row],[Client Rating]],$AE$6,$AE$7,$AE$8,$AE$9,$AE$10,)</f>
        <v>Bad</v>
      </c>
    </row>
    <row r="25" spans="1:14" x14ac:dyDescent="0.25">
      <c r="A25" s="1" t="s">
        <v>54</v>
      </c>
      <c r="B25" s="2">
        <v>43194</v>
      </c>
      <c r="C25" s="1" t="s">
        <v>15</v>
      </c>
      <c r="D25" s="1" t="s">
        <v>11</v>
      </c>
      <c r="E25" s="1" t="s">
        <v>16</v>
      </c>
      <c r="F25" s="1" t="s">
        <v>17</v>
      </c>
      <c r="G25" s="8">
        <v>57600</v>
      </c>
      <c r="H25" s="11">
        <f>_xlfn.RANK.EQ(project_3[[#This Row],[Gross_Sales]],G:G,0)</f>
        <v>42</v>
      </c>
      <c r="I25" s="8">
        <v>23158</v>
      </c>
      <c r="J25" s="9">
        <v>0.01</v>
      </c>
      <c r="K25">
        <v>3</v>
      </c>
      <c r="L25" s="8">
        <f>Calc_Net_Commission(project_3[[#This Row],[Cost]],project_3[[#This Row],[Commission rate]])</f>
        <v>196.84299999999999</v>
      </c>
      <c r="M25" s="11">
        <v>3</v>
      </c>
      <c r="N25" t="str">
        <f>CHOOSE(project_3[[#This Row],[Client Rating]],$AE$6,$AE$7,$AE$8,$AE$9,$AE$10,)</f>
        <v>Mediocare</v>
      </c>
    </row>
    <row r="26" spans="1:14" x14ac:dyDescent="0.25">
      <c r="A26" s="1" t="s">
        <v>55</v>
      </c>
      <c r="B26" s="2">
        <v>43417</v>
      </c>
      <c r="C26" s="1" t="s">
        <v>15</v>
      </c>
      <c r="D26" s="1" t="s">
        <v>40</v>
      </c>
      <c r="E26" s="1" t="s">
        <v>20</v>
      </c>
      <c r="F26" s="1" t="s">
        <v>56</v>
      </c>
      <c r="G26" s="8">
        <v>28200</v>
      </c>
      <c r="H26" s="11">
        <f>_xlfn.RANK.EQ(project_3[[#This Row],[Gross_Sales]],G:G,0)</f>
        <v>79</v>
      </c>
      <c r="I26" s="8">
        <v>19166</v>
      </c>
      <c r="J26" s="9">
        <v>0.04</v>
      </c>
      <c r="K26">
        <v>5</v>
      </c>
      <c r="L26" s="8">
        <f>Calc_Net_Commission(project_3[[#This Row],[Cost]],project_3[[#This Row],[Commission rate]])</f>
        <v>651.64400000000001</v>
      </c>
      <c r="M26" s="11">
        <v>3</v>
      </c>
      <c r="N26" t="str">
        <f>CHOOSE(project_3[[#This Row],[Client Rating]],$AE$6,$AE$7,$AE$8,$AE$9,$AE$10,)</f>
        <v>Mediocare</v>
      </c>
    </row>
    <row r="27" spans="1:14" x14ac:dyDescent="0.25">
      <c r="A27" s="1" t="s">
        <v>57</v>
      </c>
      <c r="B27" s="2">
        <v>43638</v>
      </c>
      <c r="C27" s="1" t="s">
        <v>10</v>
      </c>
      <c r="D27" s="1" t="s">
        <v>23</v>
      </c>
      <c r="E27" s="1" t="s">
        <v>24</v>
      </c>
      <c r="F27" s="1" t="s">
        <v>25</v>
      </c>
      <c r="G27" s="8">
        <v>15900</v>
      </c>
      <c r="H27" s="11">
        <f>_xlfn.RANK.EQ(project_3[[#This Row],[Gross_Sales]],G:G,0)</f>
        <v>94</v>
      </c>
      <c r="I27" s="8">
        <v>10791</v>
      </c>
      <c r="J27" s="9">
        <v>0.05</v>
      </c>
      <c r="K27">
        <v>3</v>
      </c>
      <c r="L27" s="8">
        <f>Calc_Net_Commission(project_3[[#This Row],[Cost]],project_3[[#This Row],[Commission rate]])</f>
        <v>458.61750000000006</v>
      </c>
      <c r="M27" s="11">
        <v>3</v>
      </c>
      <c r="N27" t="str">
        <f>CHOOSE(project_3[[#This Row],[Client Rating]],$AE$6,$AE$7,$AE$8,$AE$9,$AE$10,)</f>
        <v>Mediocare</v>
      </c>
    </row>
    <row r="28" spans="1:14" x14ac:dyDescent="0.25">
      <c r="A28" s="1" t="s">
        <v>58</v>
      </c>
      <c r="B28" s="2">
        <v>43645</v>
      </c>
      <c r="C28" s="1" t="s">
        <v>10</v>
      </c>
      <c r="D28" s="1" t="s">
        <v>30</v>
      </c>
      <c r="E28" s="1" t="s">
        <v>20</v>
      </c>
      <c r="F28" s="1" t="s">
        <v>56</v>
      </c>
      <c r="G28" s="8">
        <v>15100</v>
      </c>
      <c r="H28" s="11">
        <f>_xlfn.RANK.EQ(project_3[[#This Row],[Gross_Sales]],G:G,0)</f>
        <v>98</v>
      </c>
      <c r="I28" s="8">
        <v>6141</v>
      </c>
      <c r="J28" s="9">
        <v>0.14000000000000001</v>
      </c>
      <c r="K28">
        <v>4</v>
      </c>
      <c r="L28" s="8">
        <f>Calc_Net_Commission(project_3[[#This Row],[Cost]],project_3[[#This Row],[Commission rate]])</f>
        <v>730.779</v>
      </c>
      <c r="M28" s="11">
        <v>1</v>
      </c>
      <c r="N28" t="str">
        <f>CHOOSE(project_3[[#This Row],[Client Rating]],$AE$6,$AE$7,$AE$8,$AE$9,$AE$10,)</f>
        <v>Tragic</v>
      </c>
    </row>
    <row r="29" spans="1:14" x14ac:dyDescent="0.25">
      <c r="A29" s="1" t="s">
        <v>59</v>
      </c>
      <c r="B29" s="2">
        <v>43803</v>
      </c>
      <c r="C29" s="1" t="s">
        <v>19</v>
      </c>
      <c r="D29" s="1" t="s">
        <v>11</v>
      </c>
      <c r="E29" s="1" t="s">
        <v>12</v>
      </c>
      <c r="F29" s="1" t="s">
        <v>60</v>
      </c>
      <c r="G29" s="8">
        <v>20700</v>
      </c>
      <c r="H29" s="11">
        <f>_xlfn.RANK.EQ(project_3[[#This Row],[Gross_Sales]],G:G,0)</f>
        <v>88</v>
      </c>
      <c r="I29" s="8">
        <v>11723</v>
      </c>
      <c r="J29" s="9">
        <v>0.11</v>
      </c>
      <c r="K29">
        <v>2</v>
      </c>
      <c r="L29" s="8">
        <f>Calc_Net_Commission(project_3[[#This Row],[Cost]],project_3[[#This Row],[Commission rate]])</f>
        <v>1096.1005</v>
      </c>
      <c r="M29" s="11">
        <v>1</v>
      </c>
      <c r="N29" t="str">
        <f>CHOOSE(project_3[[#This Row],[Client Rating]],$AE$6,$AE$7,$AE$8,$AE$9,$AE$10,)</f>
        <v>Tragic</v>
      </c>
    </row>
    <row r="30" spans="1:14" x14ac:dyDescent="0.25">
      <c r="A30" s="1" t="s">
        <v>61</v>
      </c>
      <c r="B30" s="2">
        <v>43812</v>
      </c>
      <c r="C30" s="1" t="s">
        <v>27</v>
      </c>
      <c r="D30" s="1" t="s">
        <v>11</v>
      </c>
      <c r="E30" s="1" t="s">
        <v>16</v>
      </c>
      <c r="F30" s="1" t="s">
        <v>28</v>
      </c>
      <c r="G30" s="8">
        <v>54600</v>
      </c>
      <c r="H30" s="11">
        <f>_xlfn.RANK.EQ(project_3[[#This Row],[Gross_Sales]],G:G,0)</f>
        <v>47</v>
      </c>
      <c r="I30" s="8">
        <v>33095</v>
      </c>
      <c r="J30" s="9">
        <v>0.04</v>
      </c>
      <c r="K30">
        <v>2</v>
      </c>
      <c r="L30" s="8">
        <f>Calc_Net_Commission(project_3[[#This Row],[Cost]],project_3[[#This Row],[Commission rate]])</f>
        <v>1125.23</v>
      </c>
      <c r="M30" s="11">
        <v>5</v>
      </c>
      <c r="N30" t="str">
        <f>CHOOSE(project_3[[#This Row],[Client Rating]],$AE$6,$AE$7,$AE$8,$AE$9,$AE$10,)</f>
        <v>Excellent</v>
      </c>
    </row>
    <row r="31" spans="1:14" x14ac:dyDescent="0.25">
      <c r="A31" s="1" t="s">
        <v>62</v>
      </c>
      <c r="B31" s="2">
        <v>43537</v>
      </c>
      <c r="C31" s="1" t="s">
        <v>27</v>
      </c>
      <c r="D31" s="1" t="s">
        <v>40</v>
      </c>
      <c r="E31" s="1" t="s">
        <v>24</v>
      </c>
      <c r="F31" s="1" t="s">
        <v>45</v>
      </c>
      <c r="G31" s="8">
        <v>50000</v>
      </c>
      <c r="H31" s="11">
        <f>_xlfn.RANK.EQ(project_3[[#This Row],[Gross_Sales]],G:G,0)</f>
        <v>54</v>
      </c>
      <c r="J31" s="9">
        <v>0.04</v>
      </c>
      <c r="K31">
        <v>4</v>
      </c>
      <c r="L31" s="8">
        <f>Calc_Net_Commission(project_3[[#This Row],[Cost]],project_3[[#This Row],[Commission rate]])</f>
        <v>0</v>
      </c>
      <c r="M31" s="11">
        <v>1</v>
      </c>
      <c r="N31" t="str">
        <f>CHOOSE(project_3[[#This Row],[Client Rating]],$AE$6,$AE$7,$AE$8,$AE$9,$AE$10,)</f>
        <v>Tragic</v>
      </c>
    </row>
    <row r="32" spans="1:14" x14ac:dyDescent="0.25">
      <c r="A32" s="1" t="s">
        <v>63</v>
      </c>
      <c r="B32" s="2">
        <v>43603</v>
      </c>
      <c r="C32" s="1" t="s">
        <v>10</v>
      </c>
      <c r="D32" s="1" t="s">
        <v>11</v>
      </c>
      <c r="E32" s="1" t="s">
        <v>36</v>
      </c>
      <c r="F32" s="1" t="s">
        <v>64</v>
      </c>
      <c r="G32" s="8">
        <v>72500</v>
      </c>
      <c r="H32" s="11">
        <f>_xlfn.RANK.EQ(project_3[[#This Row],[Gross_Sales]],G:G,0)</f>
        <v>18</v>
      </c>
      <c r="I32" s="8">
        <v>40476</v>
      </c>
      <c r="J32" s="9">
        <v>0.18</v>
      </c>
      <c r="K32">
        <v>1</v>
      </c>
      <c r="L32" s="8">
        <f>Calc_Net_Commission(project_3[[#This Row],[Cost]],project_3[[#This Row],[Commission rate]])</f>
        <v>6192.8279999999995</v>
      </c>
      <c r="M32" s="11">
        <v>3</v>
      </c>
      <c r="N32" t="str">
        <f>CHOOSE(project_3[[#This Row],[Client Rating]],$AE$6,$AE$7,$AE$8,$AE$9,$AE$10,)</f>
        <v>Mediocare</v>
      </c>
    </row>
    <row r="33" spans="1:14" x14ac:dyDescent="0.25">
      <c r="A33" s="1" t="s">
        <v>65</v>
      </c>
      <c r="B33" s="2">
        <v>43560</v>
      </c>
      <c r="C33" s="1" t="s">
        <v>10</v>
      </c>
      <c r="D33" s="1" t="s">
        <v>11</v>
      </c>
      <c r="E33" s="1" t="s">
        <v>24</v>
      </c>
      <c r="F33" s="1" t="s">
        <v>45</v>
      </c>
      <c r="G33" s="8">
        <v>83300</v>
      </c>
      <c r="H33" s="11">
        <f>_xlfn.RANK.EQ(project_3[[#This Row],[Gross_Sales]],G:G,0)</f>
        <v>11</v>
      </c>
      <c r="I33" s="8">
        <v>44343</v>
      </c>
      <c r="J33" s="9">
        <v>7.0000000000000007E-2</v>
      </c>
      <c r="K33">
        <v>1</v>
      </c>
      <c r="L33" s="8">
        <f>Calc_Net_Commission(project_3[[#This Row],[Cost]],project_3[[#This Row],[Commission rate]])</f>
        <v>2638.4085</v>
      </c>
      <c r="M33" s="11">
        <v>4</v>
      </c>
      <c r="N33" t="str">
        <f>CHOOSE(project_3[[#This Row],[Client Rating]],$AE$6,$AE$7,$AE$8,$AE$9,$AE$10,)</f>
        <v>Good</v>
      </c>
    </row>
    <row r="34" spans="1:14" x14ac:dyDescent="0.25">
      <c r="A34" s="1" t="s">
        <v>66</v>
      </c>
      <c r="B34" s="2">
        <v>43788</v>
      </c>
      <c r="C34" s="1" t="s">
        <v>19</v>
      </c>
      <c r="D34" s="1" t="s">
        <v>23</v>
      </c>
      <c r="E34" s="1" t="s">
        <v>12</v>
      </c>
      <c r="F34" s="1" t="s">
        <v>13</v>
      </c>
      <c r="G34" s="8">
        <v>88600</v>
      </c>
      <c r="H34" s="11">
        <f>_xlfn.RANK.EQ(project_3[[#This Row],[Gross_Sales]],G:G,0)</f>
        <v>4</v>
      </c>
      <c r="I34" s="8">
        <v>49185</v>
      </c>
      <c r="J34" s="9">
        <v>0.16</v>
      </c>
      <c r="K34">
        <v>3</v>
      </c>
      <c r="L34" s="8">
        <f>Calc_Net_Commission(project_3[[#This Row],[Cost]],project_3[[#This Row],[Commission rate]])</f>
        <v>6689.16</v>
      </c>
      <c r="M34" s="11">
        <v>3</v>
      </c>
      <c r="N34" t="str">
        <f>CHOOSE(project_3[[#This Row],[Client Rating]],$AE$6,$AE$7,$AE$8,$AE$9,$AE$10,)</f>
        <v>Mediocare</v>
      </c>
    </row>
    <row r="35" spans="1:14" x14ac:dyDescent="0.25">
      <c r="A35" s="1" t="s">
        <v>67</v>
      </c>
      <c r="B35" s="2">
        <v>43707</v>
      </c>
      <c r="C35" s="1" t="s">
        <v>27</v>
      </c>
      <c r="D35" s="1" t="s">
        <v>40</v>
      </c>
      <c r="E35" s="1" t="s">
        <v>20</v>
      </c>
      <c r="F35" s="1" t="s">
        <v>21</v>
      </c>
      <c r="G35" s="8">
        <v>15500</v>
      </c>
      <c r="H35" s="11">
        <f>_xlfn.RANK.EQ(project_3[[#This Row],[Gross_Sales]],G:G,0)</f>
        <v>97</v>
      </c>
      <c r="I35" s="8">
        <v>12074</v>
      </c>
      <c r="J35" s="9">
        <v>0.09</v>
      </c>
      <c r="K35">
        <v>2</v>
      </c>
      <c r="L35" s="8">
        <f>Calc_Net_Commission(project_3[[#This Row],[Cost]],project_3[[#This Row],[Commission rate]])</f>
        <v>923.66099999999994</v>
      </c>
      <c r="M35" s="11">
        <v>5</v>
      </c>
      <c r="N35" t="str">
        <f>CHOOSE(project_3[[#This Row],[Client Rating]],$AE$6,$AE$7,$AE$8,$AE$9,$AE$10,)</f>
        <v>Excellent</v>
      </c>
    </row>
    <row r="36" spans="1:14" x14ac:dyDescent="0.25">
      <c r="A36" s="1" t="s">
        <v>68</v>
      </c>
      <c r="B36" s="2">
        <v>43753</v>
      </c>
      <c r="C36" s="1" t="s">
        <v>19</v>
      </c>
      <c r="D36" s="1" t="s">
        <v>11</v>
      </c>
      <c r="E36" s="1" t="s">
        <v>12</v>
      </c>
      <c r="F36" s="1" t="s">
        <v>13</v>
      </c>
      <c r="G36" s="8">
        <v>15000</v>
      </c>
      <c r="H36" s="11">
        <f>_xlfn.RANK.EQ(project_3[[#This Row],[Gross_Sales]],G:G,0)</f>
        <v>99</v>
      </c>
      <c r="J36" s="9">
        <v>0.04</v>
      </c>
      <c r="K36">
        <v>5</v>
      </c>
      <c r="L36" s="8">
        <f>Calc_Net_Commission(project_3[[#This Row],[Cost]],project_3[[#This Row],[Commission rate]])</f>
        <v>0</v>
      </c>
      <c r="M36" s="11">
        <v>3</v>
      </c>
      <c r="N36" t="str">
        <f>CHOOSE(project_3[[#This Row],[Client Rating]],$AE$6,$AE$7,$AE$8,$AE$9,$AE$10,)</f>
        <v>Mediocare</v>
      </c>
    </row>
    <row r="37" spans="1:14" x14ac:dyDescent="0.25">
      <c r="A37" s="1" t="s">
        <v>69</v>
      </c>
      <c r="B37" s="2">
        <v>43591</v>
      </c>
      <c r="C37" s="1" t="s">
        <v>27</v>
      </c>
      <c r="D37" s="1" t="s">
        <v>30</v>
      </c>
      <c r="E37" s="1" t="s">
        <v>20</v>
      </c>
      <c r="F37" s="1" t="s">
        <v>21</v>
      </c>
      <c r="G37" s="8">
        <v>82200</v>
      </c>
      <c r="H37" s="11">
        <f>_xlfn.RANK.EQ(project_3[[#This Row],[Gross_Sales]],G:G,0)</f>
        <v>12</v>
      </c>
      <c r="I37" s="8">
        <v>64871</v>
      </c>
      <c r="J37" s="9">
        <v>0.02</v>
      </c>
      <c r="K37">
        <v>1</v>
      </c>
      <c r="L37" s="8">
        <f>Calc_Net_Commission(project_3[[#This Row],[Cost]],project_3[[#This Row],[Commission rate]])</f>
        <v>1102.807</v>
      </c>
      <c r="M37" s="11">
        <v>4</v>
      </c>
      <c r="N37" t="str">
        <f>CHOOSE(project_3[[#This Row],[Client Rating]],$AE$6,$AE$7,$AE$8,$AE$9,$AE$10,)</f>
        <v>Good</v>
      </c>
    </row>
    <row r="38" spans="1:14" x14ac:dyDescent="0.25">
      <c r="A38" s="1" t="s">
        <v>70</v>
      </c>
      <c r="B38" s="2">
        <v>43506</v>
      </c>
      <c r="C38" s="1" t="s">
        <v>27</v>
      </c>
      <c r="D38" s="1" t="s">
        <v>23</v>
      </c>
      <c r="E38" s="1" t="s">
        <v>16</v>
      </c>
      <c r="F38" s="1" t="s">
        <v>28</v>
      </c>
      <c r="G38" s="8">
        <v>50000</v>
      </c>
      <c r="H38" s="11">
        <f>_xlfn.RANK.EQ(project_3[[#This Row],[Gross_Sales]],G:G,0)</f>
        <v>54</v>
      </c>
      <c r="I38" s="8">
        <v>37236</v>
      </c>
      <c r="J38" s="9">
        <v>0.18</v>
      </c>
      <c r="K38">
        <v>2</v>
      </c>
      <c r="L38" s="8">
        <f>Calc_Net_Commission(project_3[[#This Row],[Cost]],project_3[[#This Row],[Commission rate]])</f>
        <v>5697.1079999999993</v>
      </c>
      <c r="M38" s="11">
        <v>2</v>
      </c>
      <c r="N38" t="str">
        <f>CHOOSE(project_3[[#This Row],[Client Rating]],$AE$6,$AE$7,$AE$8,$AE$9,$AE$10,)</f>
        <v>Bad</v>
      </c>
    </row>
    <row r="39" spans="1:14" x14ac:dyDescent="0.25">
      <c r="A39" s="1" t="s">
        <v>71</v>
      </c>
      <c r="B39" s="2">
        <v>43745</v>
      </c>
      <c r="C39" s="1" t="s">
        <v>10</v>
      </c>
      <c r="D39" s="1" t="s">
        <v>11</v>
      </c>
      <c r="E39" s="1" t="s">
        <v>36</v>
      </c>
      <c r="F39" s="1" t="s">
        <v>64</v>
      </c>
      <c r="G39" s="8">
        <v>21800</v>
      </c>
      <c r="H39" s="11">
        <f>_xlfn.RANK.EQ(project_3[[#This Row],[Gross_Sales]],G:G,0)</f>
        <v>86</v>
      </c>
      <c r="J39" s="9">
        <v>0.1</v>
      </c>
      <c r="K39">
        <v>4</v>
      </c>
      <c r="L39" s="8">
        <f>Calc_Net_Commission(project_3[[#This Row],[Cost]],project_3[[#This Row],[Commission rate]])</f>
        <v>0</v>
      </c>
      <c r="M39" s="11">
        <v>3</v>
      </c>
      <c r="N39" t="str">
        <f>CHOOSE(project_3[[#This Row],[Client Rating]],$AE$6,$AE$7,$AE$8,$AE$9,$AE$10,)</f>
        <v>Mediocare</v>
      </c>
    </row>
    <row r="40" spans="1:14" x14ac:dyDescent="0.25">
      <c r="A40" s="1" t="s">
        <v>72</v>
      </c>
      <c r="B40" s="2">
        <v>43508</v>
      </c>
      <c r="C40" s="1" t="s">
        <v>10</v>
      </c>
      <c r="D40" s="1" t="s">
        <v>30</v>
      </c>
      <c r="E40" s="1" t="s">
        <v>24</v>
      </c>
      <c r="F40" s="1" t="s">
        <v>25</v>
      </c>
      <c r="G40" s="8">
        <v>70500</v>
      </c>
      <c r="H40" s="11">
        <f>_xlfn.RANK.EQ(project_3[[#This Row],[Gross_Sales]],G:G,0)</f>
        <v>22</v>
      </c>
      <c r="I40" s="8">
        <v>29672</v>
      </c>
      <c r="J40" s="9">
        <v>0.18</v>
      </c>
      <c r="K40">
        <v>4</v>
      </c>
      <c r="L40" s="8">
        <f>Calc_Net_Commission(project_3[[#This Row],[Cost]],project_3[[#This Row],[Commission rate]])</f>
        <v>4539.8159999999998</v>
      </c>
      <c r="M40" s="11">
        <v>3</v>
      </c>
      <c r="N40" t="str">
        <f>CHOOSE(project_3[[#This Row],[Client Rating]],$AE$6,$AE$7,$AE$8,$AE$9,$AE$10,)</f>
        <v>Mediocare</v>
      </c>
    </row>
    <row r="41" spans="1:14" x14ac:dyDescent="0.25">
      <c r="A41" s="1" t="s">
        <v>73</v>
      </c>
      <c r="B41" s="2">
        <v>43589</v>
      </c>
      <c r="C41" s="1" t="s">
        <v>15</v>
      </c>
      <c r="D41" s="1" t="s">
        <v>11</v>
      </c>
      <c r="E41" s="1" t="s">
        <v>36</v>
      </c>
      <c r="F41" s="1" t="s">
        <v>37</v>
      </c>
      <c r="G41" s="8">
        <v>32700</v>
      </c>
      <c r="H41" s="11">
        <f>_xlfn.RANK.EQ(project_3[[#This Row],[Gross_Sales]],G:G,0)</f>
        <v>76</v>
      </c>
      <c r="I41" s="8">
        <v>24254</v>
      </c>
      <c r="J41" s="9">
        <v>0.15</v>
      </c>
      <c r="K41">
        <v>3</v>
      </c>
      <c r="L41" s="8">
        <f>Calc_Net_Commission(project_3[[#This Row],[Cost]],project_3[[#This Row],[Commission rate]])</f>
        <v>3092.3849999999998</v>
      </c>
      <c r="M41" s="11">
        <v>2</v>
      </c>
      <c r="N41" t="str">
        <f>CHOOSE(project_3[[#This Row],[Client Rating]],$AE$6,$AE$7,$AE$8,$AE$9,$AE$10,)</f>
        <v>Bad</v>
      </c>
    </row>
    <row r="42" spans="1:14" x14ac:dyDescent="0.25">
      <c r="A42" s="1" t="s">
        <v>74</v>
      </c>
      <c r="B42" s="2">
        <v>43526</v>
      </c>
      <c r="C42" s="1" t="s">
        <v>27</v>
      </c>
      <c r="D42" s="1" t="s">
        <v>23</v>
      </c>
      <c r="E42" s="1" t="s">
        <v>20</v>
      </c>
      <c r="F42" s="1" t="s">
        <v>56</v>
      </c>
      <c r="G42" s="8">
        <v>77500</v>
      </c>
      <c r="H42" s="11">
        <f>_xlfn.RANK.EQ(project_3[[#This Row],[Gross_Sales]],G:G,0)</f>
        <v>15</v>
      </c>
      <c r="I42" s="8">
        <v>58773</v>
      </c>
      <c r="J42" s="9">
        <v>0.1</v>
      </c>
      <c r="K42">
        <v>1</v>
      </c>
      <c r="L42" s="8">
        <f>Calc_Net_Commission(project_3[[#This Row],[Cost]],project_3[[#This Row],[Commission rate]])</f>
        <v>4995.7049999999999</v>
      </c>
      <c r="M42" s="11">
        <v>2</v>
      </c>
      <c r="N42" t="str">
        <f>CHOOSE(project_3[[#This Row],[Client Rating]],$AE$6,$AE$7,$AE$8,$AE$9,$AE$10,)</f>
        <v>Bad</v>
      </c>
    </row>
    <row r="43" spans="1:14" x14ac:dyDescent="0.25">
      <c r="A43" s="1" t="s">
        <v>75</v>
      </c>
      <c r="B43" s="2">
        <v>43596</v>
      </c>
      <c r="C43" s="1" t="s">
        <v>19</v>
      </c>
      <c r="D43" s="1" t="s">
        <v>40</v>
      </c>
      <c r="E43" s="1" t="s">
        <v>20</v>
      </c>
      <c r="F43" s="1" t="s">
        <v>21</v>
      </c>
      <c r="G43" s="8">
        <v>65700</v>
      </c>
      <c r="H43" s="11">
        <f>_xlfn.RANK.EQ(project_3[[#This Row],[Gross_Sales]],G:G,0)</f>
        <v>30</v>
      </c>
      <c r="I43" s="8">
        <v>44786</v>
      </c>
      <c r="J43" s="9">
        <v>7.0000000000000007E-2</v>
      </c>
      <c r="K43">
        <v>2</v>
      </c>
      <c r="L43" s="8">
        <f>Calc_Net_Commission(project_3[[#This Row],[Cost]],project_3[[#This Row],[Commission rate]])</f>
        <v>2664.7670000000003</v>
      </c>
      <c r="M43" s="11">
        <v>1</v>
      </c>
      <c r="N43" t="str">
        <f>CHOOSE(project_3[[#This Row],[Client Rating]],$AE$6,$AE$7,$AE$8,$AE$9,$AE$10,)</f>
        <v>Tragic</v>
      </c>
    </row>
    <row r="44" spans="1:14" x14ac:dyDescent="0.25">
      <c r="A44" s="1" t="s">
        <v>76</v>
      </c>
      <c r="B44" s="2">
        <v>43498</v>
      </c>
      <c r="C44" s="1" t="s">
        <v>10</v>
      </c>
      <c r="D44" s="1" t="s">
        <v>23</v>
      </c>
      <c r="E44" s="1" t="s">
        <v>36</v>
      </c>
      <c r="F44" s="1" t="s">
        <v>37</v>
      </c>
      <c r="G44" s="8">
        <v>39900</v>
      </c>
      <c r="H44" s="11">
        <f>_xlfn.RANK.EQ(project_3[[#This Row],[Gross_Sales]],G:G,0)</f>
        <v>73</v>
      </c>
      <c r="I44" s="8">
        <v>16889</v>
      </c>
      <c r="J44" s="9">
        <v>0.04</v>
      </c>
      <c r="K44">
        <v>5</v>
      </c>
      <c r="L44" s="8">
        <f>Calc_Net_Commission(project_3[[#This Row],[Cost]],project_3[[#This Row],[Commission rate]])</f>
        <v>574.226</v>
      </c>
      <c r="M44" s="11">
        <v>4</v>
      </c>
      <c r="N44" t="str">
        <f>CHOOSE(project_3[[#This Row],[Client Rating]],$AE$6,$AE$7,$AE$8,$AE$9,$AE$10,)</f>
        <v>Good</v>
      </c>
    </row>
    <row r="45" spans="1:14" x14ac:dyDescent="0.25">
      <c r="A45" s="1" t="s">
        <v>77</v>
      </c>
      <c r="B45" s="2">
        <v>43759</v>
      </c>
      <c r="C45" s="1" t="s">
        <v>27</v>
      </c>
      <c r="D45" s="1" t="s">
        <v>30</v>
      </c>
      <c r="E45" s="1" t="s">
        <v>24</v>
      </c>
      <c r="F45" s="1" t="s">
        <v>45</v>
      </c>
      <c r="G45" s="8">
        <v>67200</v>
      </c>
      <c r="H45" s="11">
        <f>_xlfn.RANK.EQ(project_3[[#This Row],[Gross_Sales]],G:G,0)</f>
        <v>26</v>
      </c>
      <c r="I45" s="8">
        <v>29278</v>
      </c>
      <c r="J45" s="9">
        <v>0.04</v>
      </c>
      <c r="K45">
        <v>2</v>
      </c>
      <c r="L45" s="8">
        <f>Calc_Net_Commission(project_3[[#This Row],[Cost]],project_3[[#This Row],[Commission rate]])</f>
        <v>995.452</v>
      </c>
      <c r="M45" s="11">
        <v>4</v>
      </c>
      <c r="N45" t="str">
        <f>CHOOSE(project_3[[#This Row],[Client Rating]],$AE$6,$AE$7,$AE$8,$AE$9,$AE$10,)</f>
        <v>Good</v>
      </c>
    </row>
    <row r="46" spans="1:14" x14ac:dyDescent="0.25">
      <c r="A46" s="1" t="s">
        <v>78</v>
      </c>
      <c r="B46" s="2">
        <v>43523</v>
      </c>
      <c r="C46" s="1" t="s">
        <v>19</v>
      </c>
      <c r="D46" s="1" t="s">
        <v>40</v>
      </c>
      <c r="E46" s="1" t="s">
        <v>16</v>
      </c>
      <c r="F46" s="1" t="s">
        <v>17</v>
      </c>
      <c r="G46" s="8">
        <v>60800</v>
      </c>
      <c r="H46" s="11">
        <f>_xlfn.RANK.EQ(project_3[[#This Row],[Gross_Sales]],G:G,0)</f>
        <v>37</v>
      </c>
      <c r="I46" s="8">
        <v>47766</v>
      </c>
      <c r="J46" s="9">
        <v>0.1</v>
      </c>
      <c r="K46">
        <v>1</v>
      </c>
      <c r="L46" s="8">
        <f>Calc_Net_Commission(project_3[[#This Row],[Cost]],project_3[[#This Row],[Commission rate]])</f>
        <v>4060.11</v>
      </c>
      <c r="M46" s="11">
        <v>2</v>
      </c>
      <c r="N46" t="str">
        <f>CHOOSE(project_3[[#This Row],[Client Rating]],$AE$6,$AE$7,$AE$8,$AE$9,$AE$10,)</f>
        <v>Bad</v>
      </c>
    </row>
    <row r="47" spans="1:14" x14ac:dyDescent="0.25">
      <c r="A47" s="1" t="s">
        <v>79</v>
      </c>
      <c r="B47" s="2">
        <v>43769</v>
      </c>
      <c r="C47" s="1" t="s">
        <v>10</v>
      </c>
      <c r="D47" s="1" t="s">
        <v>40</v>
      </c>
      <c r="E47" s="1" t="s">
        <v>16</v>
      </c>
      <c r="F47" s="1" t="s">
        <v>17</v>
      </c>
      <c r="G47" s="8">
        <v>12200</v>
      </c>
      <c r="H47" s="11">
        <f>_xlfn.RANK.EQ(project_3[[#This Row],[Gross_Sales]],G:G,0)</f>
        <v>108</v>
      </c>
      <c r="I47" s="8">
        <v>5745</v>
      </c>
      <c r="J47" s="9">
        <v>0.13</v>
      </c>
      <c r="K47">
        <v>1</v>
      </c>
      <c r="L47" s="8">
        <f>Calc_Net_Commission(project_3[[#This Row],[Cost]],project_3[[#This Row],[Commission rate]])</f>
        <v>634.82249999999999</v>
      </c>
      <c r="M47" s="11">
        <v>3</v>
      </c>
      <c r="N47" t="str">
        <f>CHOOSE(project_3[[#This Row],[Client Rating]],$AE$6,$AE$7,$AE$8,$AE$9,$AE$10,)</f>
        <v>Mediocare</v>
      </c>
    </row>
    <row r="48" spans="1:14" x14ac:dyDescent="0.25">
      <c r="A48" s="1" t="s">
        <v>80</v>
      </c>
      <c r="B48" s="2">
        <v>43733</v>
      </c>
      <c r="C48" s="1" t="s">
        <v>19</v>
      </c>
      <c r="D48" s="1" t="s">
        <v>23</v>
      </c>
      <c r="E48" s="1" t="s">
        <v>24</v>
      </c>
      <c r="F48" s="1" t="s">
        <v>25</v>
      </c>
      <c r="G48" s="8">
        <v>30000</v>
      </c>
      <c r="H48" s="11">
        <f>_xlfn.RANK.EQ(project_3[[#This Row],[Gross_Sales]],G:G,0)</f>
        <v>78</v>
      </c>
      <c r="I48" s="8">
        <v>19336</v>
      </c>
      <c r="J48" s="9">
        <v>0.04</v>
      </c>
      <c r="K48">
        <v>4</v>
      </c>
      <c r="L48" s="8">
        <f>Calc_Net_Commission(project_3[[#This Row],[Cost]],project_3[[#This Row],[Commission rate]])</f>
        <v>657.42399999999998</v>
      </c>
      <c r="M48" s="11">
        <v>4</v>
      </c>
      <c r="N48" t="str">
        <f>CHOOSE(project_3[[#This Row],[Client Rating]],$AE$6,$AE$7,$AE$8,$AE$9,$AE$10,)</f>
        <v>Good</v>
      </c>
    </row>
    <row r="49" spans="1:14" x14ac:dyDescent="0.25">
      <c r="A49" s="1" t="s">
        <v>81</v>
      </c>
      <c r="B49" s="2">
        <v>43822</v>
      </c>
      <c r="C49" s="1" t="s">
        <v>39</v>
      </c>
      <c r="D49" s="1" t="s">
        <v>23</v>
      </c>
      <c r="E49" s="1" t="s">
        <v>24</v>
      </c>
      <c r="F49" s="1" t="s">
        <v>25</v>
      </c>
      <c r="G49" s="8">
        <v>15000</v>
      </c>
      <c r="H49" s="11">
        <f>_xlfn.RANK.EQ(project_3[[#This Row],[Gross_Sales]],G:G,0)</f>
        <v>99</v>
      </c>
      <c r="I49" s="8">
        <v>11481</v>
      </c>
      <c r="J49" s="9">
        <v>0.16</v>
      </c>
      <c r="K49">
        <v>2</v>
      </c>
      <c r="L49" s="8">
        <f>Calc_Net_Commission(project_3[[#This Row],[Cost]],project_3[[#This Row],[Commission rate]])</f>
        <v>1561.4160000000002</v>
      </c>
      <c r="M49" s="11">
        <v>1</v>
      </c>
      <c r="N49" t="str">
        <f>CHOOSE(project_3[[#This Row],[Client Rating]],$AE$6,$AE$7,$AE$8,$AE$9,$AE$10,)</f>
        <v>Tragic</v>
      </c>
    </row>
    <row r="50" spans="1:14" x14ac:dyDescent="0.25">
      <c r="A50" s="1" t="s">
        <v>82</v>
      </c>
      <c r="B50" s="2">
        <v>43802</v>
      </c>
      <c r="C50" s="1" t="s">
        <v>27</v>
      </c>
      <c r="D50" s="1" t="s">
        <v>40</v>
      </c>
      <c r="E50" s="1" t="s">
        <v>12</v>
      </c>
      <c r="F50" s="1" t="s">
        <v>41</v>
      </c>
      <c r="G50" s="8">
        <v>84900</v>
      </c>
      <c r="H50" s="11">
        <f>_xlfn.RANK.EQ(project_3[[#This Row],[Gross_Sales]],G:G,0)</f>
        <v>10</v>
      </c>
      <c r="I50" s="8">
        <v>42118</v>
      </c>
      <c r="J50" s="9">
        <v>0.09</v>
      </c>
      <c r="K50">
        <v>4</v>
      </c>
      <c r="L50" s="8">
        <f>Calc_Net_Commission(project_3[[#This Row],[Cost]],project_3[[#This Row],[Commission rate]])</f>
        <v>3222.0269999999996</v>
      </c>
      <c r="M50" s="11">
        <v>3</v>
      </c>
      <c r="N50" t="str">
        <f>CHOOSE(project_3[[#This Row],[Client Rating]],$AE$6,$AE$7,$AE$8,$AE$9,$AE$10,)</f>
        <v>Mediocare</v>
      </c>
    </row>
    <row r="51" spans="1:14" x14ac:dyDescent="0.25">
      <c r="A51" s="1" t="s">
        <v>83</v>
      </c>
      <c r="B51" s="2">
        <v>43492</v>
      </c>
      <c r="C51" s="1" t="s">
        <v>27</v>
      </c>
      <c r="D51" s="1" t="s">
        <v>30</v>
      </c>
      <c r="E51" s="1" t="s">
        <v>16</v>
      </c>
      <c r="F51" s="1" t="s">
        <v>28</v>
      </c>
      <c r="G51" s="8">
        <v>26300</v>
      </c>
      <c r="H51" s="11">
        <f>_xlfn.RANK.EQ(project_3[[#This Row],[Gross_Sales]],G:G,0)</f>
        <v>81</v>
      </c>
      <c r="J51" s="9">
        <v>0.15</v>
      </c>
      <c r="K51">
        <v>2</v>
      </c>
      <c r="L51" s="8">
        <f>Calc_Net_Commission(project_3[[#This Row],[Cost]],project_3[[#This Row],[Commission rate]])</f>
        <v>0</v>
      </c>
      <c r="M51" s="11">
        <v>3</v>
      </c>
      <c r="N51" t="str">
        <f>CHOOSE(project_3[[#This Row],[Client Rating]],$AE$6,$AE$7,$AE$8,$AE$9,$AE$10,)</f>
        <v>Mediocare</v>
      </c>
    </row>
    <row r="52" spans="1:14" x14ac:dyDescent="0.25">
      <c r="A52" s="1" t="s">
        <v>84</v>
      </c>
      <c r="B52" s="2">
        <v>43599</v>
      </c>
      <c r="C52" s="1" t="s">
        <v>19</v>
      </c>
      <c r="D52" s="1" t="s">
        <v>23</v>
      </c>
      <c r="E52" s="1" t="s">
        <v>12</v>
      </c>
      <c r="F52" s="1" t="s">
        <v>13</v>
      </c>
      <c r="G52" s="8">
        <v>23200</v>
      </c>
      <c r="H52" s="11">
        <f>_xlfn.RANK.EQ(project_3[[#This Row],[Gross_Sales]],G:G,0)</f>
        <v>84</v>
      </c>
      <c r="I52" s="8">
        <v>17360</v>
      </c>
      <c r="J52" s="9">
        <v>0.03</v>
      </c>
      <c r="K52">
        <v>4</v>
      </c>
      <c r="L52" s="8">
        <f>Calc_Net_Commission(project_3[[#This Row],[Cost]],project_3[[#This Row],[Commission rate]])</f>
        <v>442.68</v>
      </c>
      <c r="M52" s="11">
        <v>2</v>
      </c>
      <c r="N52" t="str">
        <f>CHOOSE(project_3[[#This Row],[Client Rating]],$AE$6,$AE$7,$AE$8,$AE$9,$AE$10,)</f>
        <v>Bad</v>
      </c>
    </row>
    <row r="53" spans="1:14" x14ac:dyDescent="0.25">
      <c r="A53" s="1" t="s">
        <v>85</v>
      </c>
      <c r="B53" s="2">
        <v>43615</v>
      </c>
      <c r="C53" s="1" t="s">
        <v>39</v>
      </c>
      <c r="D53" s="1" t="s">
        <v>30</v>
      </c>
      <c r="E53" s="1" t="s">
        <v>36</v>
      </c>
      <c r="F53" s="1" t="s">
        <v>64</v>
      </c>
      <c r="G53" s="8">
        <v>47000</v>
      </c>
      <c r="H53" s="11">
        <f>_xlfn.RANK.EQ(project_3[[#This Row],[Gross_Sales]],G:G,0)</f>
        <v>63</v>
      </c>
      <c r="I53" s="8">
        <v>19188</v>
      </c>
      <c r="J53" s="9">
        <v>0.18</v>
      </c>
      <c r="K53">
        <v>5</v>
      </c>
      <c r="L53" s="8">
        <f>Calc_Net_Commission(project_3[[#This Row],[Cost]],project_3[[#This Row],[Commission rate]])</f>
        <v>2935.7639999999997</v>
      </c>
      <c r="M53" s="11">
        <v>2</v>
      </c>
      <c r="N53" t="str">
        <f>CHOOSE(project_3[[#This Row],[Client Rating]],$AE$6,$AE$7,$AE$8,$AE$9,$AE$10,)</f>
        <v>Bad</v>
      </c>
    </row>
    <row r="54" spans="1:14" x14ac:dyDescent="0.25">
      <c r="A54" s="1" t="s">
        <v>86</v>
      </c>
      <c r="B54" s="2">
        <v>43796</v>
      </c>
      <c r="C54" s="1" t="s">
        <v>10</v>
      </c>
      <c r="D54" s="1" t="s">
        <v>30</v>
      </c>
      <c r="E54" s="1" t="s">
        <v>12</v>
      </c>
      <c r="F54" s="1" t="s">
        <v>41</v>
      </c>
      <c r="G54" s="8">
        <v>15000</v>
      </c>
      <c r="H54" s="11">
        <f>_xlfn.RANK.EQ(project_3[[#This Row],[Gross_Sales]],G:G,0)</f>
        <v>99</v>
      </c>
      <c r="I54" s="8">
        <v>8935</v>
      </c>
      <c r="J54" s="9">
        <v>0.11</v>
      </c>
      <c r="K54">
        <v>4</v>
      </c>
      <c r="L54" s="8">
        <f>Calc_Net_Commission(project_3[[#This Row],[Cost]],project_3[[#This Row],[Commission rate]])</f>
        <v>835.42250000000001</v>
      </c>
      <c r="M54" s="11">
        <v>2</v>
      </c>
      <c r="N54" t="str">
        <f>CHOOSE(project_3[[#This Row],[Client Rating]],$AE$6,$AE$7,$AE$8,$AE$9,$AE$10,)</f>
        <v>Bad</v>
      </c>
    </row>
    <row r="55" spans="1:14" x14ac:dyDescent="0.25">
      <c r="A55" s="1" t="s">
        <v>87</v>
      </c>
      <c r="B55" s="2">
        <v>44058</v>
      </c>
      <c r="C55" s="1" t="s">
        <v>10</v>
      </c>
      <c r="D55" s="1" t="s">
        <v>11</v>
      </c>
      <c r="E55" s="1" t="s">
        <v>20</v>
      </c>
      <c r="F55" s="1" t="s">
        <v>21</v>
      </c>
      <c r="G55" s="8">
        <v>64700</v>
      </c>
      <c r="H55" s="11">
        <f>_xlfn.RANK.EQ(project_3[[#This Row],[Gross_Sales]],G:G,0)</f>
        <v>32</v>
      </c>
      <c r="I55" s="8">
        <v>46060</v>
      </c>
      <c r="J55" s="9">
        <v>0.11</v>
      </c>
      <c r="K55">
        <v>2</v>
      </c>
      <c r="L55" s="8">
        <f>Calc_Net_Commission(project_3[[#This Row],[Cost]],project_3[[#This Row],[Commission rate]])</f>
        <v>4306.6099999999997</v>
      </c>
      <c r="M55" s="11">
        <v>3</v>
      </c>
      <c r="N55" t="str">
        <f>CHOOSE(project_3[[#This Row],[Client Rating]],$AE$6,$AE$7,$AE$8,$AE$9,$AE$10,)</f>
        <v>Mediocare</v>
      </c>
    </row>
    <row r="56" spans="1:14" x14ac:dyDescent="0.25">
      <c r="A56" s="1" t="s">
        <v>88</v>
      </c>
      <c r="B56" s="2">
        <v>44079</v>
      </c>
      <c r="C56" s="1" t="s">
        <v>15</v>
      </c>
      <c r="D56" s="1" t="s">
        <v>30</v>
      </c>
      <c r="E56" s="1" t="s">
        <v>12</v>
      </c>
      <c r="F56" s="1" t="s">
        <v>60</v>
      </c>
      <c r="G56" s="8">
        <v>15000</v>
      </c>
      <c r="H56" s="11">
        <f>_xlfn.RANK.EQ(project_3[[#This Row],[Gross_Sales]],G:G,0)</f>
        <v>99</v>
      </c>
      <c r="I56" s="8">
        <v>7771</v>
      </c>
      <c r="J56" s="9">
        <v>0.16</v>
      </c>
      <c r="K56">
        <v>3</v>
      </c>
      <c r="L56" s="8">
        <f>Calc_Net_Commission(project_3[[#This Row],[Cost]],project_3[[#This Row],[Commission rate]])</f>
        <v>1056.856</v>
      </c>
      <c r="M56" s="11">
        <v>2</v>
      </c>
      <c r="N56" t="str">
        <f>CHOOSE(project_3[[#This Row],[Client Rating]],$AE$6,$AE$7,$AE$8,$AE$9,$AE$10,)</f>
        <v>Bad</v>
      </c>
    </row>
    <row r="57" spans="1:14" x14ac:dyDescent="0.25">
      <c r="A57" s="1" t="s">
        <v>89</v>
      </c>
      <c r="B57" s="2">
        <v>43999</v>
      </c>
      <c r="C57" s="1" t="s">
        <v>27</v>
      </c>
      <c r="D57" s="1" t="s">
        <v>40</v>
      </c>
      <c r="E57" s="1" t="s">
        <v>24</v>
      </c>
      <c r="F57" s="1" t="s">
        <v>45</v>
      </c>
      <c r="G57" s="8">
        <v>85600</v>
      </c>
      <c r="H57" s="11">
        <f>_xlfn.RANK.EQ(project_3[[#This Row],[Gross_Sales]],G:G,0)</f>
        <v>9</v>
      </c>
      <c r="I57" s="8">
        <v>38067</v>
      </c>
      <c r="J57" s="9">
        <v>0.11</v>
      </c>
      <c r="K57">
        <v>1</v>
      </c>
      <c r="L57" s="8">
        <f>Calc_Net_Commission(project_3[[#This Row],[Cost]],project_3[[#This Row],[Commission rate]])</f>
        <v>3559.2645000000002</v>
      </c>
      <c r="M57" s="11">
        <v>5</v>
      </c>
      <c r="N57" t="str">
        <f>CHOOSE(project_3[[#This Row],[Client Rating]],$AE$6,$AE$7,$AE$8,$AE$9,$AE$10,)</f>
        <v>Excellent</v>
      </c>
    </row>
    <row r="58" spans="1:14" x14ac:dyDescent="0.25">
      <c r="A58" s="1" t="s">
        <v>90</v>
      </c>
      <c r="B58" s="2">
        <v>44015</v>
      </c>
      <c r="C58" s="1" t="s">
        <v>10</v>
      </c>
      <c r="D58" s="1" t="s">
        <v>11</v>
      </c>
      <c r="E58" s="1" t="s">
        <v>12</v>
      </c>
      <c r="F58" s="1" t="s">
        <v>60</v>
      </c>
      <c r="G58" s="8">
        <v>40000</v>
      </c>
      <c r="H58" s="11">
        <f>_xlfn.RANK.EQ(project_3[[#This Row],[Gross_Sales]],G:G,0)</f>
        <v>72</v>
      </c>
      <c r="I58" s="8">
        <v>30554</v>
      </c>
      <c r="J58" s="9">
        <v>0.01</v>
      </c>
      <c r="K58">
        <v>2</v>
      </c>
      <c r="L58" s="8">
        <f>Calc_Net_Commission(project_3[[#This Row],[Cost]],project_3[[#This Row],[Commission rate]])</f>
        <v>259.709</v>
      </c>
      <c r="M58" s="11">
        <v>4</v>
      </c>
      <c r="N58" t="str">
        <f>CHOOSE(project_3[[#This Row],[Client Rating]],$AE$6,$AE$7,$AE$8,$AE$9,$AE$10,)</f>
        <v>Good</v>
      </c>
    </row>
    <row r="59" spans="1:14" x14ac:dyDescent="0.25">
      <c r="A59" s="1" t="s">
        <v>91</v>
      </c>
      <c r="B59" s="2">
        <v>43863</v>
      </c>
      <c r="C59" s="1" t="s">
        <v>27</v>
      </c>
      <c r="D59" s="1" t="s">
        <v>40</v>
      </c>
      <c r="E59" s="1" t="s">
        <v>24</v>
      </c>
      <c r="F59" s="1" t="s">
        <v>45</v>
      </c>
      <c r="G59" s="8">
        <v>11200</v>
      </c>
      <c r="H59" s="11">
        <f>_xlfn.RANK.EQ(project_3[[#This Row],[Gross_Sales]],G:G,0)</f>
        <v>109</v>
      </c>
      <c r="I59" s="8">
        <v>7447</v>
      </c>
      <c r="J59" s="9">
        <v>0.16</v>
      </c>
      <c r="K59">
        <v>1</v>
      </c>
      <c r="L59" s="8">
        <f>Calc_Net_Commission(project_3[[#This Row],[Cost]],project_3[[#This Row],[Commission rate]])</f>
        <v>1012.792</v>
      </c>
      <c r="M59" s="11">
        <v>5</v>
      </c>
      <c r="N59" t="str">
        <f>CHOOSE(project_3[[#This Row],[Client Rating]],$AE$6,$AE$7,$AE$8,$AE$9,$AE$10,)</f>
        <v>Excellent</v>
      </c>
    </row>
    <row r="60" spans="1:14" x14ac:dyDescent="0.25">
      <c r="A60" s="1" t="s">
        <v>92</v>
      </c>
      <c r="B60" s="2">
        <v>44065</v>
      </c>
      <c r="C60" s="1" t="s">
        <v>10</v>
      </c>
      <c r="D60" s="1" t="s">
        <v>11</v>
      </c>
      <c r="E60" s="1" t="s">
        <v>12</v>
      </c>
      <c r="F60" s="1" t="s">
        <v>60</v>
      </c>
      <c r="G60" s="8">
        <v>90200</v>
      </c>
      <c r="H60" s="11">
        <f>_xlfn.RANK.EQ(project_3[[#This Row],[Gross_Sales]],G:G,0)</f>
        <v>1</v>
      </c>
      <c r="I60" s="8">
        <v>46681</v>
      </c>
      <c r="J60" s="9">
        <v>0</v>
      </c>
      <c r="K60">
        <v>5</v>
      </c>
      <c r="L60" s="8">
        <f>Calc_Net_Commission(project_3[[#This Row],[Cost]],project_3[[#This Row],[Commission rate]])</f>
        <v>0</v>
      </c>
      <c r="M60" s="11">
        <v>1</v>
      </c>
      <c r="N60" t="str">
        <f>CHOOSE(project_3[[#This Row],[Client Rating]],$AE$6,$AE$7,$AE$8,$AE$9,$AE$10,)</f>
        <v>Tragic</v>
      </c>
    </row>
    <row r="61" spans="1:14" x14ac:dyDescent="0.25">
      <c r="A61" s="1" t="s">
        <v>93</v>
      </c>
      <c r="B61" s="2">
        <v>43840</v>
      </c>
      <c r="C61" s="1" t="s">
        <v>39</v>
      </c>
      <c r="D61" s="1" t="s">
        <v>30</v>
      </c>
      <c r="E61" s="1" t="s">
        <v>24</v>
      </c>
      <c r="F61" s="1" t="s">
        <v>25</v>
      </c>
      <c r="G61" s="8">
        <v>64200</v>
      </c>
      <c r="H61" s="11">
        <f>_xlfn.RANK.EQ(project_3[[#This Row],[Gross_Sales]],G:G,0)</f>
        <v>33</v>
      </c>
      <c r="I61" s="8">
        <v>48788</v>
      </c>
      <c r="J61" s="9">
        <v>0.16</v>
      </c>
      <c r="K61">
        <v>4</v>
      </c>
      <c r="L61" s="8">
        <f>Calc_Net_Commission(project_3[[#This Row],[Cost]],project_3[[#This Row],[Commission rate]])</f>
        <v>6635.1679999999997</v>
      </c>
      <c r="M61" s="11">
        <v>3</v>
      </c>
      <c r="N61" t="str">
        <f>CHOOSE(project_3[[#This Row],[Client Rating]],$AE$6,$AE$7,$AE$8,$AE$9,$AE$10,)</f>
        <v>Mediocare</v>
      </c>
    </row>
    <row r="62" spans="1:14" x14ac:dyDescent="0.25">
      <c r="A62" s="1" t="s">
        <v>94</v>
      </c>
      <c r="B62" s="2">
        <v>44152</v>
      </c>
      <c r="C62" s="1" t="s">
        <v>27</v>
      </c>
      <c r="D62" s="1" t="s">
        <v>23</v>
      </c>
      <c r="E62" s="1" t="s">
        <v>16</v>
      </c>
      <c r="F62" s="1" t="s">
        <v>17</v>
      </c>
      <c r="G62" s="8">
        <v>69000</v>
      </c>
      <c r="H62" s="11">
        <f>_xlfn.RANK.EQ(project_3[[#This Row],[Gross_Sales]],G:G,0)</f>
        <v>24</v>
      </c>
      <c r="I62" s="8">
        <v>48698</v>
      </c>
      <c r="J62" s="9">
        <v>7.0000000000000007E-2</v>
      </c>
      <c r="K62">
        <v>5</v>
      </c>
      <c r="L62" s="8">
        <f>Calc_Net_Commission(project_3[[#This Row],[Cost]],project_3[[#This Row],[Commission rate]])</f>
        <v>2897.5309999999999</v>
      </c>
      <c r="M62" s="11">
        <v>4</v>
      </c>
      <c r="N62" t="str">
        <f>CHOOSE(project_3[[#This Row],[Client Rating]],$AE$6,$AE$7,$AE$8,$AE$9,$AE$10,)</f>
        <v>Good</v>
      </c>
    </row>
    <row r="63" spans="1:14" x14ac:dyDescent="0.25">
      <c r="A63" s="1" t="s">
        <v>95</v>
      </c>
      <c r="B63" s="2">
        <v>43844</v>
      </c>
      <c r="C63" s="1" t="s">
        <v>19</v>
      </c>
      <c r="D63" s="1" t="s">
        <v>30</v>
      </c>
      <c r="E63" s="1" t="s">
        <v>16</v>
      </c>
      <c r="F63" s="1" t="s">
        <v>17</v>
      </c>
      <c r="G63" s="8">
        <v>56200</v>
      </c>
      <c r="H63" s="11">
        <f>_xlfn.RANK.EQ(project_3[[#This Row],[Gross_Sales]],G:G,0)</f>
        <v>46</v>
      </c>
      <c r="I63" s="8">
        <v>23330</v>
      </c>
      <c r="J63" s="9">
        <v>0.17</v>
      </c>
      <c r="K63">
        <v>4</v>
      </c>
      <c r="L63" s="8">
        <f>Calc_Net_Commission(project_3[[#This Row],[Cost]],project_3[[#This Row],[Commission rate]])</f>
        <v>3371.1850000000004</v>
      </c>
      <c r="M63" s="11">
        <v>1</v>
      </c>
      <c r="N63" t="str">
        <f>CHOOSE(project_3[[#This Row],[Client Rating]],$AE$6,$AE$7,$AE$8,$AE$9,$AE$10,)</f>
        <v>Tragic</v>
      </c>
    </row>
    <row r="64" spans="1:14" x14ac:dyDescent="0.25">
      <c r="A64" s="1" t="s">
        <v>96</v>
      </c>
      <c r="B64" s="2">
        <v>43990</v>
      </c>
      <c r="C64" s="1" t="s">
        <v>19</v>
      </c>
      <c r="D64" s="1" t="s">
        <v>23</v>
      </c>
      <c r="E64" s="1" t="s">
        <v>36</v>
      </c>
      <c r="F64" s="1" t="s">
        <v>64</v>
      </c>
      <c r="G64" s="8">
        <v>17200</v>
      </c>
      <c r="H64" s="11">
        <f>_xlfn.RANK.EQ(project_3[[#This Row],[Gross_Sales]],G:G,0)</f>
        <v>91</v>
      </c>
      <c r="I64" s="8">
        <v>10904</v>
      </c>
      <c r="J64" s="9">
        <v>0.05</v>
      </c>
      <c r="K64">
        <v>5</v>
      </c>
      <c r="L64" s="8">
        <f>Calc_Net_Commission(project_3[[#This Row],[Cost]],project_3[[#This Row],[Commission rate]])</f>
        <v>463.42</v>
      </c>
      <c r="M64" s="11">
        <v>3</v>
      </c>
      <c r="N64" t="str">
        <f>CHOOSE(project_3[[#This Row],[Client Rating]],$AE$6,$AE$7,$AE$8,$AE$9,$AE$10,)</f>
        <v>Mediocare</v>
      </c>
    </row>
    <row r="65" spans="1:14" x14ac:dyDescent="0.25">
      <c r="A65" s="1" t="s">
        <v>97</v>
      </c>
      <c r="B65" s="2">
        <v>44165</v>
      </c>
      <c r="C65" s="1" t="s">
        <v>15</v>
      </c>
      <c r="D65" s="1" t="s">
        <v>40</v>
      </c>
      <c r="E65" s="1" t="s">
        <v>24</v>
      </c>
      <c r="F65" s="1" t="s">
        <v>25</v>
      </c>
      <c r="G65" s="8">
        <v>48100</v>
      </c>
      <c r="H65" s="11">
        <f>_xlfn.RANK.EQ(project_3[[#This Row],[Gross_Sales]],G:G,0)</f>
        <v>61</v>
      </c>
      <c r="I65" s="8">
        <v>21282</v>
      </c>
      <c r="J65" s="9">
        <v>0.06</v>
      </c>
      <c r="K65">
        <v>3</v>
      </c>
      <c r="L65" s="8">
        <f>Calc_Net_Commission(project_3[[#This Row],[Cost]],project_3[[#This Row],[Commission rate]])</f>
        <v>1085.3820000000001</v>
      </c>
      <c r="M65" s="11">
        <v>1</v>
      </c>
      <c r="N65" t="str">
        <f>CHOOSE(project_3[[#This Row],[Client Rating]],$AE$6,$AE$7,$AE$8,$AE$9,$AE$10,)</f>
        <v>Tragic</v>
      </c>
    </row>
    <row r="66" spans="1:14" x14ac:dyDescent="0.25">
      <c r="A66" s="1" t="s">
        <v>98</v>
      </c>
      <c r="B66" s="2">
        <v>43899</v>
      </c>
      <c r="C66" s="1" t="s">
        <v>39</v>
      </c>
      <c r="D66" s="1" t="s">
        <v>30</v>
      </c>
      <c r="E66" s="1" t="s">
        <v>12</v>
      </c>
      <c r="F66" s="1" t="s">
        <v>13</v>
      </c>
      <c r="G66" s="8">
        <v>70200</v>
      </c>
      <c r="H66" s="11">
        <f>_xlfn.RANK.EQ(project_3[[#This Row],[Gross_Sales]],G:G,0)</f>
        <v>23</v>
      </c>
      <c r="I66" s="8">
        <v>44195</v>
      </c>
      <c r="J66" s="9">
        <v>0.02</v>
      </c>
      <c r="K66">
        <v>2</v>
      </c>
      <c r="L66" s="8">
        <f>Calc_Net_Commission(project_3[[#This Row],[Cost]],project_3[[#This Row],[Commission rate]])</f>
        <v>751.31500000000005</v>
      </c>
      <c r="M66" s="11">
        <v>5</v>
      </c>
      <c r="N66" t="str">
        <f>CHOOSE(project_3[[#This Row],[Client Rating]],$AE$6,$AE$7,$AE$8,$AE$9,$AE$10,)</f>
        <v>Excellent</v>
      </c>
    </row>
    <row r="67" spans="1:14" x14ac:dyDescent="0.25">
      <c r="A67" s="1" t="s">
        <v>99</v>
      </c>
      <c r="B67" s="2">
        <v>44165</v>
      </c>
      <c r="C67" s="1" t="s">
        <v>19</v>
      </c>
      <c r="D67" s="1" t="s">
        <v>23</v>
      </c>
      <c r="E67" s="1" t="s">
        <v>24</v>
      </c>
      <c r="F67" s="1" t="s">
        <v>45</v>
      </c>
      <c r="G67" s="8">
        <v>51900</v>
      </c>
      <c r="H67" s="11">
        <f>_xlfn.RANK.EQ(project_3[[#This Row],[Gross_Sales]],G:G,0)</f>
        <v>50</v>
      </c>
      <c r="I67" s="8">
        <v>22025</v>
      </c>
      <c r="J67" s="9">
        <v>0.14000000000000001</v>
      </c>
      <c r="K67">
        <v>2</v>
      </c>
      <c r="L67" s="8">
        <f>Calc_Net_Commission(project_3[[#This Row],[Cost]],project_3[[#This Row],[Commission rate]])</f>
        <v>2620.9750000000004</v>
      </c>
      <c r="M67" s="11">
        <v>2</v>
      </c>
      <c r="N67" t="str">
        <f>CHOOSE(project_3[[#This Row],[Client Rating]],$AE$6,$AE$7,$AE$8,$AE$9,$AE$10,)</f>
        <v>Bad</v>
      </c>
    </row>
    <row r="68" spans="1:14" x14ac:dyDescent="0.25">
      <c r="A68" s="1" t="s">
        <v>100</v>
      </c>
      <c r="B68" s="2">
        <v>44152</v>
      </c>
      <c r="C68" s="1" t="s">
        <v>19</v>
      </c>
      <c r="D68" s="1" t="s">
        <v>40</v>
      </c>
      <c r="E68" s="1" t="s">
        <v>16</v>
      </c>
      <c r="F68" s="1" t="s">
        <v>17</v>
      </c>
      <c r="G68" s="8">
        <v>63400</v>
      </c>
      <c r="H68" s="11">
        <f>_xlfn.RANK.EQ(project_3[[#This Row],[Gross_Sales]],G:G,0)</f>
        <v>34</v>
      </c>
      <c r="I68" s="8">
        <v>35984</v>
      </c>
      <c r="J68" s="9">
        <v>0.1</v>
      </c>
      <c r="K68">
        <v>3</v>
      </c>
      <c r="L68" s="8">
        <f>Calc_Net_Commission(project_3[[#This Row],[Cost]],project_3[[#This Row],[Commission rate]])</f>
        <v>3058.64</v>
      </c>
      <c r="M68" s="11">
        <v>1</v>
      </c>
      <c r="N68" t="str">
        <f>CHOOSE(project_3[[#This Row],[Client Rating]],$AE$6,$AE$7,$AE$8,$AE$9,$AE$10,)</f>
        <v>Tragic</v>
      </c>
    </row>
    <row r="69" spans="1:14" x14ac:dyDescent="0.25">
      <c r="A69" s="1" t="s">
        <v>101</v>
      </c>
      <c r="B69" s="2">
        <v>43973</v>
      </c>
      <c r="C69" s="1" t="s">
        <v>15</v>
      </c>
      <c r="D69" s="1" t="s">
        <v>11</v>
      </c>
      <c r="E69" s="1" t="s">
        <v>24</v>
      </c>
      <c r="F69" s="1" t="s">
        <v>25</v>
      </c>
      <c r="G69" s="8">
        <v>60600</v>
      </c>
      <c r="H69" s="11">
        <f>_xlfn.RANK.EQ(project_3[[#This Row],[Gross_Sales]],G:G,0)</f>
        <v>38</v>
      </c>
      <c r="I69" s="8">
        <v>41123</v>
      </c>
      <c r="J69" s="9">
        <v>0.11</v>
      </c>
      <c r="K69">
        <v>3</v>
      </c>
      <c r="L69" s="8">
        <f>Calc_Net_Commission(project_3[[#This Row],[Cost]],project_3[[#This Row],[Commission rate]])</f>
        <v>3845.0004999999996</v>
      </c>
      <c r="M69" s="11">
        <v>3</v>
      </c>
      <c r="N69" t="str">
        <f>CHOOSE(project_3[[#This Row],[Client Rating]],$AE$6,$AE$7,$AE$8,$AE$9,$AE$10,)</f>
        <v>Mediocare</v>
      </c>
    </row>
    <row r="70" spans="1:14" x14ac:dyDescent="0.25">
      <c r="A70" s="1" t="s">
        <v>102</v>
      </c>
      <c r="B70" s="2">
        <v>43867</v>
      </c>
      <c r="C70" s="1" t="s">
        <v>27</v>
      </c>
      <c r="D70" s="1" t="s">
        <v>11</v>
      </c>
      <c r="E70" s="1" t="s">
        <v>36</v>
      </c>
      <c r="F70" s="1" t="s">
        <v>64</v>
      </c>
      <c r="G70" s="8">
        <v>57300</v>
      </c>
      <c r="H70" s="11">
        <f>_xlfn.RANK.EQ(project_3[[#This Row],[Gross_Sales]],G:G,0)</f>
        <v>43</v>
      </c>
      <c r="I70" s="8">
        <v>30334</v>
      </c>
      <c r="J70" s="9">
        <v>0.15</v>
      </c>
      <c r="K70">
        <v>4</v>
      </c>
      <c r="L70" s="8">
        <f>Calc_Net_Commission(project_3[[#This Row],[Cost]],project_3[[#This Row],[Commission rate]])</f>
        <v>3867.5849999999996</v>
      </c>
      <c r="M70" s="11">
        <v>1</v>
      </c>
      <c r="N70" t="str">
        <f>CHOOSE(project_3[[#This Row],[Client Rating]],$AE$6,$AE$7,$AE$8,$AE$9,$AE$10,)</f>
        <v>Tragic</v>
      </c>
    </row>
    <row r="71" spans="1:14" x14ac:dyDescent="0.25">
      <c r="A71" s="1" t="s">
        <v>103</v>
      </c>
      <c r="B71" s="2">
        <v>44117</v>
      </c>
      <c r="C71" s="1" t="s">
        <v>15</v>
      </c>
      <c r="D71" s="1" t="s">
        <v>23</v>
      </c>
      <c r="E71" s="1" t="s">
        <v>16</v>
      </c>
      <c r="F71" s="1" t="s">
        <v>17</v>
      </c>
      <c r="G71" s="8">
        <v>44200</v>
      </c>
      <c r="H71" s="11">
        <f>_xlfn.RANK.EQ(project_3[[#This Row],[Gross_Sales]],G:G,0)</f>
        <v>68</v>
      </c>
      <c r="J71" s="9">
        <v>0.12</v>
      </c>
      <c r="K71">
        <v>1</v>
      </c>
      <c r="L71" s="8">
        <f>Calc_Net_Commission(project_3[[#This Row],[Cost]],project_3[[#This Row],[Commission rate]])</f>
        <v>0</v>
      </c>
      <c r="M71" s="11">
        <v>3</v>
      </c>
      <c r="N71" t="str">
        <f>CHOOSE(project_3[[#This Row],[Client Rating]],$AE$6,$AE$7,$AE$8,$AE$9,$AE$10,)</f>
        <v>Mediocare</v>
      </c>
    </row>
    <row r="72" spans="1:14" x14ac:dyDescent="0.25">
      <c r="A72" s="1" t="s">
        <v>104</v>
      </c>
      <c r="B72" s="2">
        <v>43882</v>
      </c>
      <c r="C72" s="1" t="s">
        <v>19</v>
      </c>
      <c r="D72" s="1" t="s">
        <v>40</v>
      </c>
      <c r="E72" s="1" t="s">
        <v>36</v>
      </c>
      <c r="F72" s="1" t="s">
        <v>37</v>
      </c>
      <c r="G72" s="8">
        <v>15000</v>
      </c>
      <c r="H72" s="11">
        <f>_xlfn.RANK.EQ(project_3[[#This Row],[Gross_Sales]],G:G,0)</f>
        <v>99</v>
      </c>
      <c r="I72" s="8">
        <v>10306</v>
      </c>
      <c r="J72" s="9">
        <v>0.03</v>
      </c>
      <c r="K72">
        <v>3</v>
      </c>
      <c r="L72" s="8">
        <f>Calc_Net_Commission(project_3[[#This Row],[Cost]],project_3[[#This Row],[Commission rate]])</f>
        <v>262.803</v>
      </c>
      <c r="M72" s="11">
        <v>2</v>
      </c>
      <c r="N72" t="str">
        <f>CHOOSE(project_3[[#This Row],[Client Rating]],$AE$6,$AE$7,$AE$8,$AE$9,$AE$10,)</f>
        <v>Bad</v>
      </c>
    </row>
    <row r="73" spans="1:14" x14ac:dyDescent="0.25">
      <c r="A73" s="1" t="s">
        <v>105</v>
      </c>
      <c r="B73" s="2">
        <v>44082</v>
      </c>
      <c r="C73" s="1" t="s">
        <v>39</v>
      </c>
      <c r="D73" s="1" t="s">
        <v>11</v>
      </c>
      <c r="E73" s="1" t="s">
        <v>12</v>
      </c>
      <c r="F73" s="1" t="s">
        <v>13</v>
      </c>
      <c r="G73" s="8">
        <v>51500</v>
      </c>
      <c r="H73" s="11">
        <f>_xlfn.RANK.EQ(project_3[[#This Row],[Gross_Sales]],G:G,0)</f>
        <v>51</v>
      </c>
      <c r="I73" s="8">
        <v>35034</v>
      </c>
      <c r="J73" s="9">
        <v>0.08</v>
      </c>
      <c r="K73">
        <v>4</v>
      </c>
      <c r="L73" s="8">
        <f>Calc_Net_Commission(project_3[[#This Row],[Cost]],project_3[[#This Row],[Commission rate]])</f>
        <v>2382.3119999999999</v>
      </c>
      <c r="M73" s="11">
        <v>5</v>
      </c>
      <c r="N73" t="str">
        <f>CHOOSE(project_3[[#This Row],[Client Rating]],$AE$6,$AE$7,$AE$8,$AE$9,$AE$10,)</f>
        <v>Excellent</v>
      </c>
    </row>
    <row r="74" spans="1:14" x14ac:dyDescent="0.25">
      <c r="A74" s="1" t="s">
        <v>106</v>
      </c>
      <c r="B74" s="2">
        <v>43973</v>
      </c>
      <c r="C74" s="1" t="s">
        <v>10</v>
      </c>
      <c r="D74" s="1" t="s">
        <v>40</v>
      </c>
      <c r="E74" s="1" t="s">
        <v>36</v>
      </c>
      <c r="F74" s="1" t="s">
        <v>64</v>
      </c>
      <c r="G74" s="8">
        <v>88800</v>
      </c>
      <c r="H74" s="11">
        <f>_xlfn.RANK.EQ(project_3[[#This Row],[Gross_Sales]],G:G,0)</f>
        <v>3</v>
      </c>
      <c r="I74" s="8">
        <v>52162</v>
      </c>
      <c r="J74" s="9">
        <v>0.01</v>
      </c>
      <c r="K74">
        <v>2</v>
      </c>
      <c r="L74" s="8">
        <f>Calc_Net_Commission(project_3[[#This Row],[Cost]],project_3[[#This Row],[Commission rate]])</f>
        <v>443.37699999999995</v>
      </c>
      <c r="M74" s="11">
        <v>5</v>
      </c>
      <c r="N74" t="str">
        <f>CHOOSE(project_3[[#This Row],[Client Rating]],$AE$6,$AE$7,$AE$8,$AE$9,$AE$10,)</f>
        <v>Excellent</v>
      </c>
    </row>
    <row r="75" spans="1:14" x14ac:dyDescent="0.25">
      <c r="A75" s="1" t="s">
        <v>107</v>
      </c>
      <c r="B75" s="2">
        <v>43871</v>
      </c>
      <c r="C75" s="1" t="s">
        <v>39</v>
      </c>
      <c r="D75" s="1" t="s">
        <v>23</v>
      </c>
      <c r="E75" s="1" t="s">
        <v>24</v>
      </c>
      <c r="F75" s="1" t="s">
        <v>45</v>
      </c>
      <c r="G75" s="8">
        <v>66000</v>
      </c>
      <c r="H75" s="11">
        <f>_xlfn.RANK.EQ(project_3[[#This Row],[Gross_Sales]],G:G,0)</f>
        <v>28</v>
      </c>
      <c r="J75" s="9">
        <v>0</v>
      </c>
      <c r="K75">
        <v>1</v>
      </c>
      <c r="L75" s="8">
        <f>Calc_Net_Commission(project_3[[#This Row],[Cost]],project_3[[#This Row],[Commission rate]])</f>
        <v>0</v>
      </c>
      <c r="M75" s="11">
        <v>5</v>
      </c>
      <c r="N75" t="str">
        <f>CHOOSE(project_3[[#This Row],[Client Rating]],$AE$6,$AE$7,$AE$8,$AE$9,$AE$10,)</f>
        <v>Excellent</v>
      </c>
    </row>
    <row r="76" spans="1:14" x14ac:dyDescent="0.25">
      <c r="A76" s="1" t="s">
        <v>108</v>
      </c>
      <c r="B76" s="2">
        <v>44110</v>
      </c>
      <c r="C76" s="1" t="s">
        <v>10</v>
      </c>
      <c r="D76" s="1" t="s">
        <v>30</v>
      </c>
      <c r="E76" s="1" t="s">
        <v>12</v>
      </c>
      <c r="F76" s="1" t="s">
        <v>60</v>
      </c>
      <c r="G76" s="8">
        <v>27200</v>
      </c>
      <c r="H76" s="11">
        <f>_xlfn.RANK.EQ(project_3[[#This Row],[Gross_Sales]],G:G,0)</f>
        <v>80</v>
      </c>
      <c r="I76" s="8">
        <v>20296</v>
      </c>
      <c r="J76" s="9">
        <v>0.14000000000000001</v>
      </c>
      <c r="K76">
        <v>4</v>
      </c>
      <c r="L76" s="8">
        <f>Calc_Net_Commission(project_3[[#This Row],[Cost]],project_3[[#This Row],[Commission rate]])</f>
        <v>2415.2240000000002</v>
      </c>
      <c r="M76" s="11">
        <v>3</v>
      </c>
      <c r="N76" t="str">
        <f>CHOOSE(project_3[[#This Row],[Client Rating]],$AE$6,$AE$7,$AE$8,$AE$9,$AE$10,)</f>
        <v>Mediocare</v>
      </c>
    </row>
    <row r="77" spans="1:14" x14ac:dyDescent="0.25">
      <c r="A77" s="1" t="s">
        <v>109</v>
      </c>
      <c r="B77" s="2">
        <v>44005</v>
      </c>
      <c r="C77" s="1" t="s">
        <v>10</v>
      </c>
      <c r="D77" s="1" t="s">
        <v>30</v>
      </c>
      <c r="E77" s="1" t="s">
        <v>12</v>
      </c>
      <c r="F77" s="1" t="s">
        <v>60</v>
      </c>
      <c r="G77" s="8">
        <v>15900</v>
      </c>
      <c r="H77" s="11">
        <f>_xlfn.RANK.EQ(project_3[[#This Row],[Gross_Sales]],G:G,0)</f>
        <v>94</v>
      </c>
      <c r="I77" s="8">
        <v>6974</v>
      </c>
      <c r="J77" s="9">
        <v>7.0000000000000007E-2</v>
      </c>
      <c r="K77">
        <v>3</v>
      </c>
      <c r="L77" s="8">
        <f>Calc_Net_Commission(project_3[[#This Row],[Cost]],project_3[[#This Row],[Commission rate]])</f>
        <v>414.95300000000003</v>
      </c>
      <c r="M77" s="11">
        <v>5</v>
      </c>
      <c r="N77" t="str">
        <f>CHOOSE(project_3[[#This Row],[Client Rating]],$AE$6,$AE$7,$AE$8,$AE$9,$AE$10,)</f>
        <v>Excellent</v>
      </c>
    </row>
    <row r="78" spans="1:14" x14ac:dyDescent="0.25">
      <c r="A78" s="1" t="s">
        <v>110</v>
      </c>
      <c r="B78" s="2">
        <v>43868</v>
      </c>
      <c r="C78" s="1" t="s">
        <v>19</v>
      </c>
      <c r="D78" s="1" t="s">
        <v>40</v>
      </c>
      <c r="E78" s="1" t="s">
        <v>36</v>
      </c>
      <c r="F78" s="1" t="s">
        <v>37</v>
      </c>
      <c r="G78" s="8">
        <v>15000</v>
      </c>
      <c r="H78" s="11">
        <f>_xlfn.RANK.EQ(project_3[[#This Row],[Gross_Sales]],G:G,0)</f>
        <v>99</v>
      </c>
      <c r="I78" s="8">
        <v>11816</v>
      </c>
      <c r="J78" s="9">
        <v>0.16</v>
      </c>
      <c r="K78">
        <v>1</v>
      </c>
      <c r="L78" s="8">
        <f>Calc_Net_Commission(project_3[[#This Row],[Cost]],project_3[[#This Row],[Commission rate]])</f>
        <v>1606.9760000000001</v>
      </c>
      <c r="M78" s="11">
        <v>2</v>
      </c>
      <c r="N78" t="str">
        <f>CHOOSE(project_3[[#This Row],[Client Rating]],$AE$6,$AE$7,$AE$8,$AE$9,$AE$10,)</f>
        <v>Bad</v>
      </c>
    </row>
    <row r="79" spans="1:14" x14ac:dyDescent="0.25">
      <c r="A79" s="1" t="s">
        <v>111</v>
      </c>
      <c r="B79" s="2">
        <v>43999</v>
      </c>
      <c r="C79" s="1" t="s">
        <v>19</v>
      </c>
      <c r="D79" s="1" t="s">
        <v>11</v>
      </c>
      <c r="E79" s="1" t="s">
        <v>16</v>
      </c>
      <c r="F79" s="1" t="s">
        <v>17</v>
      </c>
      <c r="G79" s="8">
        <v>59700</v>
      </c>
      <c r="H79" s="11">
        <f>_xlfn.RANK.EQ(project_3[[#This Row],[Gross_Sales]],G:G,0)</f>
        <v>39</v>
      </c>
      <c r="I79" s="8">
        <v>43518</v>
      </c>
      <c r="J79" s="9">
        <v>0</v>
      </c>
      <c r="K79">
        <v>1</v>
      </c>
      <c r="L79" s="8">
        <f>Calc_Net_Commission(project_3[[#This Row],[Cost]],project_3[[#This Row],[Commission rate]])</f>
        <v>0</v>
      </c>
      <c r="M79" s="11">
        <v>2</v>
      </c>
      <c r="N79" t="str">
        <f>CHOOSE(project_3[[#This Row],[Client Rating]],$AE$6,$AE$7,$AE$8,$AE$9,$AE$10,)</f>
        <v>Bad</v>
      </c>
    </row>
    <row r="80" spans="1:14" x14ac:dyDescent="0.25">
      <c r="A80" s="1" t="s">
        <v>112</v>
      </c>
      <c r="B80" s="2">
        <v>44073</v>
      </c>
      <c r="C80" s="1" t="s">
        <v>19</v>
      </c>
      <c r="D80" s="1" t="s">
        <v>11</v>
      </c>
      <c r="E80" s="1" t="s">
        <v>20</v>
      </c>
      <c r="F80" s="1" t="s">
        <v>21</v>
      </c>
      <c r="G80" s="8">
        <v>87800</v>
      </c>
      <c r="H80" s="11">
        <f>_xlfn.RANK.EQ(project_3[[#This Row],[Gross_Sales]],G:G,0)</f>
        <v>6</v>
      </c>
      <c r="I80" s="8">
        <v>46549</v>
      </c>
      <c r="J80" s="9">
        <v>0.2</v>
      </c>
      <c r="K80">
        <v>2</v>
      </c>
      <c r="L80" s="8">
        <f>Calc_Net_Commission(project_3[[#This Row],[Cost]],project_3[[#This Row],[Commission rate]])</f>
        <v>7913.3300000000008</v>
      </c>
      <c r="M80" s="11">
        <v>1</v>
      </c>
      <c r="N80" t="str">
        <f>CHOOSE(project_3[[#This Row],[Client Rating]],$AE$6,$AE$7,$AE$8,$AE$9,$AE$10,)</f>
        <v>Tragic</v>
      </c>
    </row>
    <row r="81" spans="1:14" x14ac:dyDescent="0.25">
      <c r="A81" s="1" t="s">
        <v>113</v>
      </c>
      <c r="B81" s="2">
        <v>43986</v>
      </c>
      <c r="C81" s="1" t="s">
        <v>15</v>
      </c>
      <c r="D81" s="1" t="s">
        <v>40</v>
      </c>
      <c r="E81" s="1" t="s">
        <v>36</v>
      </c>
      <c r="F81" s="1" t="s">
        <v>64</v>
      </c>
      <c r="G81" s="8">
        <v>50900</v>
      </c>
      <c r="H81" s="11">
        <f>_xlfn.RANK.EQ(project_3[[#This Row],[Gross_Sales]],G:G,0)</f>
        <v>52</v>
      </c>
      <c r="I81" s="8">
        <v>38852</v>
      </c>
      <c r="J81" s="9">
        <v>0.03</v>
      </c>
      <c r="K81">
        <v>5</v>
      </c>
      <c r="L81" s="8">
        <f>Calc_Net_Commission(project_3[[#This Row],[Cost]],project_3[[#This Row],[Commission rate]])</f>
        <v>990.72599999999989</v>
      </c>
      <c r="M81" s="11">
        <v>1</v>
      </c>
      <c r="N81" t="str">
        <f>CHOOSE(project_3[[#This Row],[Client Rating]],$AE$6,$AE$7,$AE$8,$AE$9,$AE$10,)</f>
        <v>Tragic</v>
      </c>
    </row>
    <row r="82" spans="1:14" x14ac:dyDescent="0.25">
      <c r="A82" s="1" t="s">
        <v>114</v>
      </c>
      <c r="B82" s="2">
        <v>44194</v>
      </c>
      <c r="C82" s="1" t="s">
        <v>15</v>
      </c>
      <c r="D82" s="1" t="s">
        <v>23</v>
      </c>
      <c r="E82" s="1" t="s">
        <v>16</v>
      </c>
      <c r="F82" s="1" t="s">
        <v>17</v>
      </c>
      <c r="G82" s="8">
        <v>50000</v>
      </c>
      <c r="H82" s="11">
        <f>_xlfn.RANK.EQ(project_3[[#This Row],[Gross_Sales]],G:G,0)</f>
        <v>54</v>
      </c>
      <c r="I82" s="8">
        <v>24115</v>
      </c>
      <c r="J82" s="9">
        <v>0.11</v>
      </c>
      <c r="K82">
        <v>4</v>
      </c>
      <c r="L82" s="8">
        <f>Calc_Net_Commission(project_3[[#This Row],[Cost]],project_3[[#This Row],[Commission rate]])</f>
        <v>2254.7525000000001</v>
      </c>
      <c r="M82" s="11">
        <v>2</v>
      </c>
      <c r="N82" t="str">
        <f>CHOOSE(project_3[[#This Row],[Client Rating]],$AE$6,$AE$7,$AE$8,$AE$9,$AE$10,)</f>
        <v>Bad</v>
      </c>
    </row>
    <row r="83" spans="1:14" x14ac:dyDescent="0.25">
      <c r="A83" s="1" t="s">
        <v>115</v>
      </c>
      <c r="B83" s="2">
        <v>43880</v>
      </c>
      <c r="C83" s="1" t="s">
        <v>27</v>
      </c>
      <c r="D83" s="1" t="s">
        <v>30</v>
      </c>
      <c r="E83" s="1" t="s">
        <v>12</v>
      </c>
      <c r="F83" s="1" t="s">
        <v>60</v>
      </c>
      <c r="G83" s="8">
        <v>22500</v>
      </c>
      <c r="H83" s="11">
        <f>_xlfn.RANK.EQ(project_3[[#This Row],[Gross_Sales]],G:G,0)</f>
        <v>85</v>
      </c>
      <c r="I83" s="8">
        <v>9135</v>
      </c>
      <c r="J83" s="9">
        <v>0.04</v>
      </c>
      <c r="K83">
        <v>3</v>
      </c>
      <c r="L83" s="8">
        <f>Calc_Net_Commission(project_3[[#This Row],[Cost]],project_3[[#This Row],[Commission rate]])</f>
        <v>310.59000000000003</v>
      </c>
      <c r="M83" s="11">
        <v>5</v>
      </c>
      <c r="N83" t="str">
        <f>CHOOSE(project_3[[#This Row],[Client Rating]],$AE$6,$AE$7,$AE$8,$AE$9,$AE$10,)</f>
        <v>Excellent</v>
      </c>
    </row>
    <row r="84" spans="1:14" x14ac:dyDescent="0.25">
      <c r="A84" s="1" t="s">
        <v>116</v>
      </c>
      <c r="B84" s="2">
        <v>43960</v>
      </c>
      <c r="C84" s="1" t="s">
        <v>15</v>
      </c>
      <c r="D84" s="1" t="s">
        <v>30</v>
      </c>
      <c r="E84" s="1" t="s">
        <v>36</v>
      </c>
      <c r="F84" s="1" t="s">
        <v>64</v>
      </c>
      <c r="G84" s="8">
        <v>59200</v>
      </c>
      <c r="H84" s="11">
        <f>_xlfn.RANK.EQ(project_3[[#This Row],[Gross_Sales]],G:G,0)</f>
        <v>40</v>
      </c>
      <c r="I84" s="8">
        <v>33515</v>
      </c>
      <c r="J84" s="9">
        <v>0.2</v>
      </c>
      <c r="K84">
        <v>5</v>
      </c>
      <c r="L84" s="8">
        <f>Calc_Net_Commission(project_3[[#This Row],[Cost]],project_3[[#This Row],[Commission rate]])</f>
        <v>5697.55</v>
      </c>
      <c r="M84" s="11">
        <v>4</v>
      </c>
      <c r="N84" t="str">
        <f>CHOOSE(project_3[[#This Row],[Client Rating]],$AE$6,$AE$7,$AE$8,$AE$9,$AE$10,)</f>
        <v>Good</v>
      </c>
    </row>
    <row r="85" spans="1:14" x14ac:dyDescent="0.25">
      <c r="A85" s="1" t="s">
        <v>117</v>
      </c>
      <c r="B85" s="2">
        <v>44231</v>
      </c>
      <c r="C85" s="1" t="s">
        <v>27</v>
      </c>
      <c r="D85" s="1" t="s">
        <v>40</v>
      </c>
      <c r="E85" s="1" t="s">
        <v>16</v>
      </c>
      <c r="F85" s="1" t="s">
        <v>17</v>
      </c>
      <c r="G85" s="8">
        <v>50000</v>
      </c>
      <c r="H85" s="11">
        <f>_xlfn.RANK.EQ(project_3[[#This Row],[Gross_Sales]],G:G,0)</f>
        <v>54</v>
      </c>
      <c r="I85" s="8">
        <v>36655</v>
      </c>
      <c r="J85" s="9">
        <v>0.18</v>
      </c>
      <c r="K85">
        <v>1</v>
      </c>
      <c r="L85" s="8">
        <f>Calc_Net_Commission(project_3[[#This Row],[Cost]],project_3[[#This Row],[Commission rate]])</f>
        <v>5608.2150000000001</v>
      </c>
      <c r="M85" s="11">
        <v>1</v>
      </c>
      <c r="N85" t="str">
        <f>CHOOSE(project_3[[#This Row],[Client Rating]],$AE$6,$AE$7,$AE$8,$AE$9,$AE$10,)</f>
        <v>Tragic</v>
      </c>
    </row>
    <row r="86" spans="1:14" x14ac:dyDescent="0.25">
      <c r="A86" s="1" t="s">
        <v>118</v>
      </c>
      <c r="B86" s="2">
        <v>44431</v>
      </c>
      <c r="C86" s="1" t="s">
        <v>39</v>
      </c>
      <c r="D86" s="1" t="s">
        <v>11</v>
      </c>
      <c r="E86" s="1" t="s">
        <v>36</v>
      </c>
      <c r="F86" s="1" t="s">
        <v>64</v>
      </c>
      <c r="G86" s="8">
        <v>50000</v>
      </c>
      <c r="H86" s="11">
        <f>_xlfn.RANK.EQ(project_3[[#This Row],[Gross_Sales]],G:G,0)</f>
        <v>54</v>
      </c>
      <c r="I86" s="8">
        <v>38018</v>
      </c>
      <c r="J86" s="9">
        <v>0.01</v>
      </c>
      <c r="K86">
        <v>1</v>
      </c>
      <c r="L86" s="8">
        <f>Calc_Net_Commission(project_3[[#This Row],[Cost]],project_3[[#This Row],[Commission rate]])</f>
        <v>323.15300000000002</v>
      </c>
      <c r="M86" s="11">
        <v>5</v>
      </c>
      <c r="N86" t="str">
        <f>CHOOSE(project_3[[#This Row],[Client Rating]],$AE$6,$AE$7,$AE$8,$AE$9,$AE$10,)</f>
        <v>Excellent</v>
      </c>
    </row>
    <row r="87" spans="1:14" x14ac:dyDescent="0.25">
      <c r="A87" s="1" t="s">
        <v>119</v>
      </c>
      <c r="B87" s="2">
        <v>44277</v>
      </c>
      <c r="C87" s="1" t="s">
        <v>19</v>
      </c>
      <c r="D87" s="1" t="s">
        <v>40</v>
      </c>
      <c r="E87" s="1" t="s">
        <v>36</v>
      </c>
      <c r="F87" s="1" t="s">
        <v>64</v>
      </c>
      <c r="G87" s="8">
        <v>81100</v>
      </c>
      <c r="H87" s="11">
        <f>_xlfn.RANK.EQ(project_3[[#This Row],[Gross_Sales]],G:G,0)</f>
        <v>13</v>
      </c>
      <c r="J87" s="9">
        <v>0.08</v>
      </c>
      <c r="K87">
        <v>4</v>
      </c>
      <c r="L87" s="8">
        <f>Calc_Net_Commission(project_3[[#This Row],[Cost]],project_3[[#This Row],[Commission rate]])</f>
        <v>0</v>
      </c>
      <c r="M87" s="11">
        <v>2</v>
      </c>
      <c r="N87" t="str">
        <f>CHOOSE(project_3[[#This Row],[Client Rating]],$AE$6,$AE$7,$AE$8,$AE$9,$AE$10,)</f>
        <v>Bad</v>
      </c>
    </row>
    <row r="88" spans="1:14" x14ac:dyDescent="0.25">
      <c r="A88" s="1" t="s">
        <v>120</v>
      </c>
      <c r="B88" s="2">
        <v>44517</v>
      </c>
      <c r="C88" s="1" t="s">
        <v>39</v>
      </c>
      <c r="D88" s="1" t="s">
        <v>11</v>
      </c>
      <c r="E88" s="1" t="s">
        <v>20</v>
      </c>
      <c r="F88" s="1" t="s">
        <v>56</v>
      </c>
      <c r="G88" s="8">
        <v>46200</v>
      </c>
      <c r="H88" s="11">
        <f>_xlfn.RANK.EQ(project_3[[#This Row],[Gross_Sales]],G:G,0)</f>
        <v>64</v>
      </c>
      <c r="I88" s="8">
        <v>33473</v>
      </c>
      <c r="J88" s="9">
        <v>0.04</v>
      </c>
      <c r="K88">
        <v>1</v>
      </c>
      <c r="L88" s="8">
        <f>Calc_Net_Commission(project_3[[#This Row],[Cost]],project_3[[#This Row],[Commission rate]])</f>
        <v>1138.0820000000001</v>
      </c>
      <c r="M88" s="11">
        <v>3</v>
      </c>
      <c r="N88" t="str">
        <f>CHOOSE(project_3[[#This Row],[Client Rating]],$AE$6,$AE$7,$AE$8,$AE$9,$AE$10,)</f>
        <v>Mediocare</v>
      </c>
    </row>
    <row r="89" spans="1:14" x14ac:dyDescent="0.25">
      <c r="A89" s="1" t="s">
        <v>121</v>
      </c>
      <c r="B89" s="2">
        <v>44306</v>
      </c>
      <c r="C89" s="1" t="s">
        <v>19</v>
      </c>
      <c r="D89" s="1" t="s">
        <v>11</v>
      </c>
      <c r="E89" s="1" t="s">
        <v>12</v>
      </c>
      <c r="F89" s="1" t="s">
        <v>13</v>
      </c>
      <c r="G89" s="8">
        <v>18000</v>
      </c>
      <c r="H89" s="11">
        <f>_xlfn.RANK.EQ(project_3[[#This Row],[Gross_Sales]],G:G,0)</f>
        <v>90</v>
      </c>
      <c r="I89" s="8">
        <v>9090</v>
      </c>
      <c r="J89" s="9">
        <v>0.13</v>
      </c>
      <c r="K89">
        <v>3</v>
      </c>
      <c r="L89" s="8">
        <f>Calc_Net_Commission(project_3[[#This Row],[Cost]],project_3[[#This Row],[Commission rate]])</f>
        <v>1004.4450000000001</v>
      </c>
      <c r="M89" s="11">
        <v>1</v>
      </c>
      <c r="N89" t="str">
        <f>CHOOSE(project_3[[#This Row],[Client Rating]],$AE$6,$AE$7,$AE$8,$AE$9,$AE$10,)</f>
        <v>Tragic</v>
      </c>
    </row>
    <row r="90" spans="1:14" x14ac:dyDescent="0.25">
      <c r="A90" s="1" t="s">
        <v>122</v>
      </c>
      <c r="B90" s="2">
        <v>44519</v>
      </c>
      <c r="C90" s="1" t="s">
        <v>27</v>
      </c>
      <c r="D90" s="1" t="s">
        <v>23</v>
      </c>
      <c r="E90" s="1" t="s">
        <v>36</v>
      </c>
      <c r="F90" s="1" t="s">
        <v>37</v>
      </c>
      <c r="G90" s="8">
        <v>42400</v>
      </c>
      <c r="H90" s="11">
        <f>_xlfn.RANK.EQ(project_3[[#This Row],[Gross_Sales]],G:G,0)</f>
        <v>69</v>
      </c>
      <c r="I90" s="8">
        <v>25549</v>
      </c>
      <c r="J90" s="9">
        <v>0.14000000000000001</v>
      </c>
      <c r="K90">
        <v>5</v>
      </c>
      <c r="L90" s="8">
        <f>Calc_Net_Commission(project_3[[#This Row],[Cost]],project_3[[#This Row],[Commission rate]])</f>
        <v>3040.3310000000001</v>
      </c>
      <c r="M90" s="11">
        <v>4</v>
      </c>
      <c r="N90" t="str">
        <f>CHOOSE(project_3[[#This Row],[Client Rating]],$AE$6,$AE$7,$AE$8,$AE$9,$AE$10,)</f>
        <v>Good</v>
      </c>
    </row>
    <row r="91" spans="1:14" x14ac:dyDescent="0.25">
      <c r="A91" s="1" t="s">
        <v>123</v>
      </c>
      <c r="B91" s="2">
        <v>44340</v>
      </c>
      <c r="C91" s="1" t="s">
        <v>19</v>
      </c>
      <c r="D91" s="1" t="s">
        <v>40</v>
      </c>
      <c r="E91" s="1" t="s">
        <v>20</v>
      </c>
      <c r="F91" s="1" t="s">
        <v>56</v>
      </c>
      <c r="G91" s="8">
        <v>61400</v>
      </c>
      <c r="H91" s="11">
        <f>_xlfn.RANK.EQ(project_3[[#This Row],[Gross_Sales]],G:G,0)</f>
        <v>35</v>
      </c>
      <c r="I91" s="8">
        <v>32041</v>
      </c>
      <c r="J91" s="9">
        <v>0.13</v>
      </c>
      <c r="K91">
        <v>2</v>
      </c>
      <c r="L91" s="8">
        <f>Calc_Net_Commission(project_3[[#This Row],[Cost]],project_3[[#This Row],[Commission rate]])</f>
        <v>3540.5304999999998</v>
      </c>
      <c r="M91" s="11">
        <v>3</v>
      </c>
      <c r="N91" t="str">
        <f>CHOOSE(project_3[[#This Row],[Client Rating]],$AE$6,$AE$7,$AE$8,$AE$9,$AE$10,)</f>
        <v>Mediocare</v>
      </c>
    </row>
    <row r="92" spans="1:14" x14ac:dyDescent="0.25">
      <c r="A92" s="1" t="s">
        <v>124</v>
      </c>
      <c r="B92" s="2">
        <v>44395</v>
      </c>
      <c r="C92" s="1" t="s">
        <v>15</v>
      </c>
      <c r="D92" s="1" t="s">
        <v>40</v>
      </c>
      <c r="E92" s="1" t="s">
        <v>20</v>
      </c>
      <c r="F92" s="1" t="s">
        <v>21</v>
      </c>
      <c r="G92" s="8">
        <v>35500</v>
      </c>
      <c r="H92" s="11">
        <f>_xlfn.RANK.EQ(project_3[[#This Row],[Gross_Sales]],G:G,0)</f>
        <v>75</v>
      </c>
      <c r="I92" s="8">
        <v>17742</v>
      </c>
      <c r="J92" s="9">
        <v>0.01</v>
      </c>
      <c r="K92">
        <v>2</v>
      </c>
      <c r="L92" s="8">
        <f>Calc_Net_Commission(project_3[[#This Row],[Cost]],project_3[[#This Row],[Commission rate]])</f>
        <v>150.80699999999999</v>
      </c>
      <c r="M92" s="11">
        <v>1</v>
      </c>
      <c r="N92" t="str">
        <f>CHOOSE(project_3[[#This Row],[Client Rating]],$AE$6,$AE$7,$AE$8,$AE$9,$AE$10,)</f>
        <v>Tragic</v>
      </c>
    </row>
    <row r="93" spans="1:14" x14ac:dyDescent="0.25">
      <c r="A93" s="1" t="s">
        <v>125</v>
      </c>
      <c r="B93" s="2">
        <v>44484</v>
      </c>
      <c r="C93" s="1" t="s">
        <v>39</v>
      </c>
      <c r="D93" s="1" t="s">
        <v>11</v>
      </c>
      <c r="E93" s="1" t="s">
        <v>24</v>
      </c>
      <c r="F93" s="1" t="s">
        <v>45</v>
      </c>
      <c r="G93" s="8">
        <v>30600</v>
      </c>
      <c r="H93" s="11">
        <f>_xlfn.RANK.EQ(project_3[[#This Row],[Gross_Sales]],G:G,0)</f>
        <v>77</v>
      </c>
      <c r="I93" s="8">
        <v>19063</v>
      </c>
      <c r="J93" s="9">
        <v>0.16</v>
      </c>
      <c r="K93">
        <v>5</v>
      </c>
      <c r="L93" s="8">
        <f>Calc_Net_Commission(project_3[[#This Row],[Cost]],project_3[[#This Row],[Commission rate]])</f>
        <v>2592.5679999999998</v>
      </c>
      <c r="M93" s="11">
        <v>5</v>
      </c>
      <c r="N93" t="str">
        <f>CHOOSE(project_3[[#This Row],[Client Rating]],$AE$6,$AE$7,$AE$8,$AE$9,$AE$10,)</f>
        <v>Excellent</v>
      </c>
    </row>
    <row r="94" spans="1:14" x14ac:dyDescent="0.25">
      <c r="A94" s="1" t="s">
        <v>126</v>
      </c>
      <c r="B94" s="2">
        <v>44561</v>
      </c>
      <c r="C94" s="1" t="s">
        <v>39</v>
      </c>
      <c r="D94" s="1" t="s">
        <v>23</v>
      </c>
      <c r="E94" s="1" t="s">
        <v>16</v>
      </c>
      <c r="F94" s="1" t="s">
        <v>17</v>
      </c>
      <c r="G94" s="8">
        <v>24000</v>
      </c>
      <c r="H94" s="11">
        <f>_xlfn.RANK.EQ(project_3[[#This Row],[Gross_Sales]],G:G,0)</f>
        <v>82</v>
      </c>
      <c r="I94" s="8">
        <v>15027</v>
      </c>
      <c r="J94" s="9">
        <v>0.19</v>
      </c>
      <c r="K94">
        <v>3</v>
      </c>
      <c r="L94" s="8">
        <f>Calc_Net_Commission(project_3[[#This Row],[Cost]],project_3[[#This Row],[Commission rate]])</f>
        <v>2426.8604999999998</v>
      </c>
      <c r="M94" s="11">
        <v>2</v>
      </c>
      <c r="N94" t="str">
        <f>CHOOSE(project_3[[#This Row],[Client Rating]],$AE$6,$AE$7,$AE$8,$AE$9,$AE$10,)</f>
        <v>Bad</v>
      </c>
    </row>
    <row r="95" spans="1:14" x14ac:dyDescent="0.25">
      <c r="A95" s="1" t="s">
        <v>127</v>
      </c>
      <c r="B95" s="2">
        <v>44366</v>
      </c>
      <c r="C95" s="1" t="s">
        <v>39</v>
      </c>
      <c r="D95" s="1" t="s">
        <v>11</v>
      </c>
      <c r="E95" s="1" t="s">
        <v>20</v>
      </c>
      <c r="F95" s="1" t="s">
        <v>21</v>
      </c>
      <c r="G95" s="8">
        <v>88000</v>
      </c>
      <c r="H95" s="11">
        <f>_xlfn.RANK.EQ(project_3[[#This Row],[Gross_Sales]],G:G,0)</f>
        <v>5</v>
      </c>
      <c r="I95" s="8">
        <v>62609</v>
      </c>
      <c r="J95" s="9">
        <v>0.16</v>
      </c>
      <c r="K95">
        <v>1</v>
      </c>
      <c r="L95" s="8">
        <f>Calc_Net_Commission(project_3[[#This Row],[Cost]],project_3[[#This Row],[Commission rate]])</f>
        <v>8514.8240000000005</v>
      </c>
      <c r="M95" s="11">
        <v>4</v>
      </c>
      <c r="N95" t="str">
        <f>CHOOSE(project_3[[#This Row],[Client Rating]],$AE$6,$AE$7,$AE$8,$AE$9,$AE$10,)</f>
        <v>Good</v>
      </c>
    </row>
    <row r="96" spans="1:14" x14ac:dyDescent="0.25">
      <c r="A96" s="1" t="s">
        <v>128</v>
      </c>
      <c r="B96" s="2">
        <v>44455</v>
      </c>
      <c r="C96" s="1" t="s">
        <v>39</v>
      </c>
      <c r="D96" s="1" t="s">
        <v>40</v>
      </c>
      <c r="E96" s="1" t="s">
        <v>20</v>
      </c>
      <c r="F96" s="1" t="s">
        <v>21</v>
      </c>
      <c r="G96" s="8">
        <v>44900</v>
      </c>
      <c r="H96" s="11">
        <f>_xlfn.RANK.EQ(project_3[[#This Row],[Gross_Sales]],G:G,0)</f>
        <v>67</v>
      </c>
      <c r="I96" s="8">
        <v>18774</v>
      </c>
      <c r="J96" s="9">
        <v>0.03</v>
      </c>
      <c r="K96">
        <v>1</v>
      </c>
      <c r="L96" s="8">
        <f>Calc_Net_Commission(project_3[[#This Row],[Cost]],project_3[[#This Row],[Commission rate]])</f>
        <v>478.73699999999997</v>
      </c>
      <c r="M96" s="11">
        <v>5</v>
      </c>
      <c r="N96" t="str">
        <f>CHOOSE(project_3[[#This Row],[Client Rating]],$AE$6,$AE$7,$AE$8,$AE$9,$AE$10,)</f>
        <v>Excellent</v>
      </c>
    </row>
    <row r="97" spans="1:14" x14ac:dyDescent="0.25">
      <c r="A97" s="1" t="s">
        <v>129</v>
      </c>
      <c r="B97" s="2">
        <v>44279</v>
      </c>
      <c r="C97" s="1" t="s">
        <v>10</v>
      </c>
      <c r="D97" s="1" t="s">
        <v>11</v>
      </c>
      <c r="E97" s="1" t="s">
        <v>20</v>
      </c>
      <c r="F97" s="1" t="s">
        <v>56</v>
      </c>
      <c r="G97" s="8">
        <v>16700</v>
      </c>
      <c r="H97" s="11">
        <f>_xlfn.RANK.EQ(project_3[[#This Row],[Gross_Sales]],G:G,0)</f>
        <v>93</v>
      </c>
      <c r="I97" s="8">
        <v>12399</v>
      </c>
      <c r="J97" s="9">
        <v>0.17</v>
      </c>
      <c r="K97">
        <v>2</v>
      </c>
      <c r="L97" s="8">
        <f>Calc_Net_Commission(project_3[[#This Row],[Cost]],project_3[[#This Row],[Commission rate]])</f>
        <v>1791.6555000000001</v>
      </c>
      <c r="M97" s="11">
        <v>5</v>
      </c>
      <c r="N97" t="str">
        <f>CHOOSE(project_3[[#This Row],[Client Rating]],$AE$6,$AE$7,$AE$8,$AE$9,$AE$10,)</f>
        <v>Excellent</v>
      </c>
    </row>
    <row r="98" spans="1:14" x14ac:dyDescent="0.25">
      <c r="A98" s="1" t="s">
        <v>130</v>
      </c>
      <c r="B98" s="2">
        <v>44348</v>
      </c>
      <c r="C98" s="1" t="s">
        <v>15</v>
      </c>
      <c r="D98" s="1" t="s">
        <v>23</v>
      </c>
      <c r="E98" s="1" t="s">
        <v>20</v>
      </c>
      <c r="F98" s="1" t="s">
        <v>21</v>
      </c>
      <c r="G98" s="8">
        <v>76900</v>
      </c>
      <c r="H98" s="11">
        <f>_xlfn.RANK.EQ(project_3[[#This Row],[Gross_Sales]],G:G,0)</f>
        <v>16</v>
      </c>
      <c r="I98" s="8">
        <v>56236</v>
      </c>
      <c r="J98" s="9">
        <v>0.01</v>
      </c>
      <c r="K98">
        <v>3</v>
      </c>
      <c r="L98" s="8">
        <f>Calc_Net_Commission(project_3[[#This Row],[Cost]],project_3[[#This Row],[Commission rate]])</f>
        <v>478.00599999999997</v>
      </c>
      <c r="M98" s="11">
        <v>2</v>
      </c>
      <c r="N98" t="str">
        <f>CHOOSE(project_3[[#This Row],[Client Rating]],$AE$6,$AE$7,$AE$8,$AE$9,$AE$10,)</f>
        <v>Bad</v>
      </c>
    </row>
    <row r="99" spans="1:14" x14ac:dyDescent="0.25">
      <c r="A99" s="1" t="s">
        <v>131</v>
      </c>
      <c r="B99" s="2">
        <v>44266</v>
      </c>
      <c r="C99" s="1" t="s">
        <v>19</v>
      </c>
      <c r="D99" s="1" t="s">
        <v>23</v>
      </c>
      <c r="E99" s="1" t="s">
        <v>20</v>
      </c>
      <c r="F99" s="1" t="s">
        <v>21</v>
      </c>
      <c r="G99" s="8">
        <v>78700</v>
      </c>
      <c r="H99" s="11">
        <f>_xlfn.RANK.EQ(project_3[[#This Row],[Gross_Sales]],G:G,0)</f>
        <v>14</v>
      </c>
      <c r="I99" s="8">
        <v>56071</v>
      </c>
      <c r="J99" s="9">
        <v>0.11</v>
      </c>
      <c r="K99">
        <v>2</v>
      </c>
      <c r="L99" s="8">
        <f>Calc_Net_Commission(project_3[[#This Row],[Cost]],project_3[[#This Row],[Commission rate]])</f>
        <v>5242.6385</v>
      </c>
      <c r="M99" s="11">
        <v>2</v>
      </c>
      <c r="N99" t="str">
        <f>CHOOSE(project_3[[#This Row],[Client Rating]],$AE$6,$AE$7,$AE$8,$AE$9,$AE$10,)</f>
        <v>Bad</v>
      </c>
    </row>
    <row r="100" spans="1:14" x14ac:dyDescent="0.25">
      <c r="A100" s="1" t="s">
        <v>132</v>
      </c>
      <c r="B100" s="2">
        <v>44284</v>
      </c>
      <c r="C100" s="1" t="s">
        <v>10</v>
      </c>
      <c r="D100" s="1" t="s">
        <v>11</v>
      </c>
      <c r="E100" s="1" t="s">
        <v>36</v>
      </c>
      <c r="F100" s="1" t="s">
        <v>64</v>
      </c>
      <c r="G100" s="8">
        <v>52600</v>
      </c>
      <c r="H100" s="11">
        <f>_xlfn.RANK.EQ(project_3[[#This Row],[Gross_Sales]],G:G,0)</f>
        <v>49</v>
      </c>
      <c r="I100" s="8">
        <v>29547</v>
      </c>
      <c r="J100" s="9">
        <v>0.13</v>
      </c>
      <c r="K100">
        <v>5</v>
      </c>
      <c r="L100" s="8">
        <f>Calc_Net_Commission(project_3[[#This Row],[Cost]],project_3[[#This Row],[Commission rate]])</f>
        <v>3264.9435000000003</v>
      </c>
      <c r="M100" s="11">
        <v>1</v>
      </c>
      <c r="N100" t="str">
        <f>CHOOSE(project_3[[#This Row],[Client Rating]],$AE$6,$AE$7,$AE$8,$AE$9,$AE$10,)</f>
        <v>Tragic</v>
      </c>
    </row>
    <row r="101" spans="1:14" x14ac:dyDescent="0.25">
      <c r="A101" s="1" t="s">
        <v>133</v>
      </c>
      <c r="B101" s="2">
        <v>44364</v>
      </c>
      <c r="C101" s="1" t="s">
        <v>39</v>
      </c>
      <c r="D101" s="1" t="s">
        <v>30</v>
      </c>
      <c r="E101" s="1" t="s">
        <v>12</v>
      </c>
      <c r="F101" s="1" t="s">
        <v>41</v>
      </c>
      <c r="G101" s="8">
        <v>72000</v>
      </c>
      <c r="H101" s="11">
        <f>_xlfn.RANK.EQ(project_3[[#This Row],[Gross_Sales]],G:G,0)</f>
        <v>19</v>
      </c>
      <c r="I101" s="8">
        <v>45740</v>
      </c>
      <c r="J101" s="9">
        <v>0.06</v>
      </c>
      <c r="K101">
        <v>5</v>
      </c>
      <c r="L101" s="8">
        <f>Calc_Net_Commission(project_3[[#This Row],[Cost]],project_3[[#This Row],[Commission rate]])</f>
        <v>2332.7399999999998</v>
      </c>
      <c r="M101" s="11">
        <v>2</v>
      </c>
      <c r="N101" t="str">
        <f>CHOOSE(project_3[[#This Row],[Client Rating]],$AE$6,$AE$7,$AE$8,$AE$9,$AE$10,)</f>
        <v>Bad</v>
      </c>
    </row>
    <row r="102" spans="1:14" x14ac:dyDescent="0.25">
      <c r="A102" s="1" t="s">
        <v>134</v>
      </c>
      <c r="B102" s="2">
        <v>44343</v>
      </c>
      <c r="C102" s="1" t="s">
        <v>27</v>
      </c>
      <c r="D102" s="1" t="s">
        <v>23</v>
      </c>
      <c r="E102" s="1" t="s">
        <v>36</v>
      </c>
      <c r="F102" s="1" t="s">
        <v>64</v>
      </c>
      <c r="G102" s="8">
        <v>46000</v>
      </c>
      <c r="H102" s="11">
        <f>_xlfn.RANK.EQ(project_3[[#This Row],[Gross_Sales]],G:G,0)</f>
        <v>65</v>
      </c>
      <c r="I102" s="8">
        <v>23884</v>
      </c>
      <c r="J102" s="9">
        <v>0.1</v>
      </c>
      <c r="K102">
        <v>3</v>
      </c>
      <c r="L102" s="8">
        <f>Calc_Net_Commission(project_3[[#This Row],[Cost]],project_3[[#This Row],[Commission rate]])</f>
        <v>2030.1399999999999</v>
      </c>
      <c r="M102" s="11">
        <v>2</v>
      </c>
      <c r="N102" t="str">
        <f>CHOOSE(project_3[[#This Row],[Client Rating]],$AE$6,$AE$7,$AE$8,$AE$9,$AE$10,)</f>
        <v>Bad</v>
      </c>
    </row>
    <row r="103" spans="1:14" x14ac:dyDescent="0.25">
      <c r="A103" s="1" t="s">
        <v>135</v>
      </c>
      <c r="B103" s="2">
        <v>44263</v>
      </c>
      <c r="C103" s="1" t="s">
        <v>10</v>
      </c>
      <c r="D103" s="1" t="s">
        <v>40</v>
      </c>
      <c r="E103" s="1" t="s">
        <v>16</v>
      </c>
      <c r="F103" s="1" t="s">
        <v>17</v>
      </c>
      <c r="G103" s="8">
        <v>54600</v>
      </c>
      <c r="H103" s="11">
        <f>_xlfn.RANK.EQ(project_3[[#This Row],[Gross_Sales]],G:G,0)</f>
        <v>47</v>
      </c>
      <c r="I103" s="8">
        <v>35924</v>
      </c>
      <c r="J103" s="9">
        <v>0.1</v>
      </c>
      <c r="K103">
        <v>4</v>
      </c>
      <c r="L103" s="8">
        <f>Calc_Net_Commission(project_3[[#This Row],[Cost]],project_3[[#This Row],[Commission rate]])</f>
        <v>3053.54</v>
      </c>
      <c r="M103" s="11">
        <v>2</v>
      </c>
      <c r="N103" t="str">
        <f>CHOOSE(project_3[[#This Row],[Client Rating]],$AE$6,$AE$7,$AE$8,$AE$9,$AE$10,)</f>
        <v>Bad</v>
      </c>
    </row>
    <row r="104" spans="1:14" x14ac:dyDescent="0.25">
      <c r="A104" s="1" t="s">
        <v>136</v>
      </c>
      <c r="B104" s="2">
        <v>44411</v>
      </c>
      <c r="C104" s="1" t="s">
        <v>27</v>
      </c>
      <c r="D104" s="1" t="s">
        <v>40</v>
      </c>
      <c r="E104" s="1" t="s">
        <v>16</v>
      </c>
      <c r="F104" s="1" t="s">
        <v>17</v>
      </c>
      <c r="G104" s="8">
        <v>68000</v>
      </c>
      <c r="H104" s="11">
        <f>_xlfn.RANK.EQ(project_3[[#This Row],[Gross_Sales]],G:G,0)</f>
        <v>25</v>
      </c>
      <c r="I104" s="8">
        <v>35456</v>
      </c>
      <c r="J104" s="9">
        <v>0.06</v>
      </c>
      <c r="K104">
        <v>3</v>
      </c>
      <c r="L104" s="8">
        <f>Calc_Net_Commission(project_3[[#This Row],[Cost]],project_3[[#This Row],[Commission rate]])</f>
        <v>1808.2559999999999</v>
      </c>
      <c r="M104" s="11">
        <v>3</v>
      </c>
      <c r="N104" t="str">
        <f>CHOOSE(project_3[[#This Row],[Client Rating]],$AE$6,$AE$7,$AE$8,$AE$9,$AE$10,)</f>
        <v>Mediocare</v>
      </c>
    </row>
    <row r="105" spans="1:14" x14ac:dyDescent="0.25">
      <c r="A105" s="1" t="s">
        <v>137</v>
      </c>
      <c r="B105" s="2">
        <v>44490</v>
      </c>
      <c r="C105" s="1" t="s">
        <v>39</v>
      </c>
      <c r="D105" s="1" t="s">
        <v>23</v>
      </c>
      <c r="E105" s="1" t="s">
        <v>36</v>
      </c>
      <c r="F105" s="1" t="s">
        <v>64</v>
      </c>
      <c r="G105" s="8">
        <v>41800</v>
      </c>
      <c r="H105" s="11">
        <f>_xlfn.RANK.EQ(project_3[[#This Row],[Gross_Sales]],G:G,0)</f>
        <v>70</v>
      </c>
      <c r="I105" s="8">
        <v>23514</v>
      </c>
      <c r="J105" s="9">
        <v>0.14000000000000001</v>
      </c>
      <c r="K105">
        <v>1</v>
      </c>
      <c r="L105" s="8">
        <f>Calc_Net_Commission(project_3[[#This Row],[Cost]],project_3[[#This Row],[Commission rate]])</f>
        <v>2798.1660000000002</v>
      </c>
      <c r="M105" s="11">
        <v>5</v>
      </c>
      <c r="N105" t="str">
        <f>CHOOSE(project_3[[#This Row],[Client Rating]],$AE$6,$AE$7,$AE$8,$AE$9,$AE$10,)</f>
        <v>Excellent</v>
      </c>
    </row>
    <row r="106" spans="1:14" x14ac:dyDescent="0.25">
      <c r="A106" s="1" t="s">
        <v>138</v>
      </c>
      <c r="B106" s="2">
        <v>44353</v>
      </c>
      <c r="C106" s="1" t="s">
        <v>15</v>
      </c>
      <c r="D106" s="1" t="s">
        <v>23</v>
      </c>
      <c r="E106" s="1" t="s">
        <v>24</v>
      </c>
      <c r="F106" s="1" t="s">
        <v>45</v>
      </c>
      <c r="G106" s="8">
        <v>47700</v>
      </c>
      <c r="H106" s="11">
        <f>_xlfn.RANK.EQ(project_3[[#This Row],[Gross_Sales]],G:G,0)</f>
        <v>62</v>
      </c>
      <c r="J106" s="9">
        <v>0.19</v>
      </c>
      <c r="K106">
        <v>2</v>
      </c>
      <c r="L106" s="8">
        <f>Calc_Net_Commission(project_3[[#This Row],[Cost]],project_3[[#This Row],[Commission rate]])</f>
        <v>0</v>
      </c>
      <c r="M106" s="11">
        <v>5</v>
      </c>
      <c r="N106" t="str">
        <f>CHOOSE(project_3[[#This Row],[Client Rating]],$AE$6,$AE$7,$AE$8,$AE$9,$AE$10,)</f>
        <v>Excellent</v>
      </c>
    </row>
    <row r="107" spans="1:14" x14ac:dyDescent="0.25">
      <c r="A107" s="1" t="s">
        <v>139</v>
      </c>
      <c r="B107" s="2">
        <v>44251</v>
      </c>
      <c r="C107" s="1" t="s">
        <v>39</v>
      </c>
      <c r="D107" s="1" t="s">
        <v>30</v>
      </c>
      <c r="E107" s="1" t="s">
        <v>12</v>
      </c>
      <c r="F107" s="1" t="s">
        <v>13</v>
      </c>
      <c r="G107" s="8">
        <v>65700</v>
      </c>
      <c r="H107" s="11">
        <f>_xlfn.RANK.EQ(project_3[[#This Row],[Gross_Sales]],G:G,0)</f>
        <v>30</v>
      </c>
      <c r="I107" s="8">
        <v>30884</v>
      </c>
      <c r="J107" s="9">
        <v>0.02</v>
      </c>
      <c r="K107">
        <v>2</v>
      </c>
      <c r="L107" s="8">
        <f>Calc_Net_Commission(project_3[[#This Row],[Cost]],project_3[[#This Row],[Commission rate]])</f>
        <v>525.02800000000002</v>
      </c>
      <c r="M107" s="11">
        <v>3</v>
      </c>
      <c r="N107" t="str">
        <f>CHOOSE(project_3[[#This Row],[Client Rating]],$AE$6,$AE$7,$AE$8,$AE$9,$AE$10,)</f>
        <v>Mediocare</v>
      </c>
    </row>
    <row r="108" spans="1:14" x14ac:dyDescent="0.25">
      <c r="A108" s="1" t="s">
        <v>140</v>
      </c>
      <c r="B108" s="2">
        <v>44342</v>
      </c>
      <c r="C108" s="1" t="s">
        <v>19</v>
      </c>
      <c r="D108" s="1" t="s">
        <v>23</v>
      </c>
      <c r="E108" s="1" t="s">
        <v>12</v>
      </c>
      <c r="F108" s="1" t="s">
        <v>60</v>
      </c>
      <c r="G108" s="8">
        <v>71100</v>
      </c>
      <c r="H108" s="11">
        <f>_xlfn.RANK.EQ(project_3[[#This Row],[Gross_Sales]],G:G,0)</f>
        <v>21</v>
      </c>
      <c r="I108" s="8">
        <v>43053</v>
      </c>
      <c r="J108" s="9">
        <v>0.16</v>
      </c>
      <c r="K108">
        <v>2</v>
      </c>
      <c r="L108" s="8">
        <f>Calc_Net_Commission(project_3[[#This Row],[Cost]],project_3[[#This Row],[Commission rate]])</f>
        <v>5855.2079999999996</v>
      </c>
      <c r="M108" s="11">
        <v>1</v>
      </c>
      <c r="N108" t="str">
        <f>CHOOSE(project_3[[#This Row],[Client Rating]],$AE$6,$AE$7,$AE$8,$AE$9,$AE$10,)</f>
        <v>Tragic</v>
      </c>
    </row>
    <row r="109" spans="1:14" x14ac:dyDescent="0.25">
      <c r="A109" s="1" t="s">
        <v>141</v>
      </c>
      <c r="B109" s="2">
        <v>44544</v>
      </c>
      <c r="C109" s="1" t="s">
        <v>39</v>
      </c>
      <c r="D109" s="1" t="s">
        <v>23</v>
      </c>
      <c r="E109" s="1" t="s">
        <v>12</v>
      </c>
      <c r="F109" s="1" t="s">
        <v>41</v>
      </c>
      <c r="G109" s="8">
        <v>13600</v>
      </c>
      <c r="H109" s="11">
        <f>_xlfn.RANK.EQ(project_3[[#This Row],[Gross_Sales]],G:G,0)</f>
        <v>107</v>
      </c>
      <c r="I109" s="8">
        <v>9506</v>
      </c>
      <c r="J109" s="9">
        <v>0.11</v>
      </c>
      <c r="K109">
        <v>2</v>
      </c>
      <c r="L109" s="8">
        <f>Calc_Net_Commission(project_3[[#This Row],[Cost]],project_3[[#This Row],[Commission rate]])</f>
        <v>888.81099999999992</v>
      </c>
      <c r="M109" s="11">
        <v>2</v>
      </c>
      <c r="N109" t="str">
        <f>CHOOSE(project_3[[#This Row],[Client Rating]],$AE$6,$AE$7,$AE$8,$AE$9,$AE$10,)</f>
        <v>Bad</v>
      </c>
    </row>
    <row r="110" spans="1:14" x14ac:dyDescent="0.25">
      <c r="A110" s="1" t="s">
        <v>142</v>
      </c>
      <c r="B110" s="2">
        <v>44494</v>
      </c>
      <c r="C110" s="1" t="s">
        <v>27</v>
      </c>
      <c r="D110" s="1" t="s">
        <v>23</v>
      </c>
      <c r="E110" s="1" t="s">
        <v>20</v>
      </c>
      <c r="F110" s="1" t="s">
        <v>56</v>
      </c>
      <c r="G110" s="8">
        <v>59000</v>
      </c>
      <c r="H110" s="11">
        <f>_xlfn.RANK.EQ(project_3[[#This Row],[Gross_Sales]],G:G,0)</f>
        <v>41</v>
      </c>
      <c r="I110" s="8">
        <v>46302</v>
      </c>
      <c r="J110" s="9">
        <v>0.18</v>
      </c>
      <c r="K110">
        <v>2</v>
      </c>
      <c r="L110" s="8">
        <f>Calc_Net_Commission(project_3[[#This Row],[Cost]],project_3[[#This Row],[Commission rate]])</f>
        <v>7084.2059999999992</v>
      </c>
      <c r="M110" s="11">
        <v>2</v>
      </c>
      <c r="N110" t="str">
        <f>CHOOSE(project_3[[#This Row],[Client Rating]],$AE$6,$AE$7,$AE$8,$AE$9,$AE$10,)</f>
        <v>Bad</v>
      </c>
    </row>
    <row r="112" spans="1:14" x14ac:dyDescent="0.25">
      <c r="H112" s="11" t="s">
        <v>166</v>
      </c>
      <c r="I112" s="8">
        <f ca="1">_xlfn.AGGREGATE(1,2,I:I)</f>
        <v>29578.928571428572</v>
      </c>
    </row>
    <row r="113" spans="12:14" x14ac:dyDescent="0.25">
      <c r="L113" s="10" t="s">
        <v>2</v>
      </c>
      <c r="M113" s="10"/>
      <c r="N113" s="3" t="s">
        <v>4</v>
      </c>
    </row>
    <row r="114" spans="12:14" x14ac:dyDescent="0.25">
      <c r="L114" s="8" t="s">
        <v>27</v>
      </c>
      <c r="N114" t="s">
        <v>24</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0A933F96-D2E5-4A3B-A830-4731512E4180}">
          <x14:formula1>
            <xm:f>Directories!$B$4:$B$7</xm:f>
          </x14:formula1>
          <xm:sqref>L114:M114</xm:sqref>
        </x14:dataValidation>
        <x14:dataValidation type="list" allowBlank="1" showInputMessage="1" showErrorMessage="1" xr:uid="{3419EA3D-2DBD-40DF-BE22-E9542CFB991D}">
          <x14:formula1>
            <xm:f>Directories!$C$4:$C$8</xm:f>
          </x14:formula1>
          <xm:sqref>N114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8E63F-A8A9-4B6C-A5DC-A5EE072C8FA2}">
  <sheetPr codeName="Sheet4"/>
  <dimension ref="B3:N22"/>
  <sheetViews>
    <sheetView showGridLines="0" workbookViewId="0">
      <selection activeCell="J46" sqref="J46"/>
    </sheetView>
  </sheetViews>
  <sheetFormatPr defaultRowHeight="15" x14ac:dyDescent="0.25"/>
  <cols>
    <col min="3" max="3" width="11.140625" bestFit="1" customWidth="1"/>
    <col min="4" max="4" width="14.85546875" style="8" bestFit="1" customWidth="1"/>
  </cols>
  <sheetData>
    <row r="3" spans="2:14" x14ac:dyDescent="0.25">
      <c r="J3" s="12" t="b">
        <v>1</v>
      </c>
    </row>
    <row r="4" spans="2:14" x14ac:dyDescent="0.25">
      <c r="H4" s="12">
        <v>5</v>
      </c>
      <c r="N4" s="12" t="str">
        <f>IF($H$4=1,"Consulting",IF($H$4=2,"Hardware",IF($H$4=3,"IT",IF($H$4=4,"Software","Training"))))</f>
        <v>Training</v>
      </c>
    </row>
    <row r="5" spans="2:14" x14ac:dyDescent="0.25">
      <c r="N5" s="12" t="s">
        <v>177</v>
      </c>
    </row>
    <row r="6" spans="2:14" x14ac:dyDescent="0.25">
      <c r="N6" s="12" t="str">
        <f>_xlfn.TEXTJOIN(" ",TRUE,N5,N4)</f>
        <v>Gross Sales for: Training</v>
      </c>
    </row>
    <row r="8" spans="2:14" x14ac:dyDescent="0.25">
      <c r="C8" s="13" t="s">
        <v>176</v>
      </c>
      <c r="D8" s="14"/>
    </row>
    <row r="9" spans="2:14" x14ac:dyDescent="0.25">
      <c r="B9" s="12">
        <v>1</v>
      </c>
      <c r="C9" s="15" t="s">
        <v>147</v>
      </c>
      <c r="D9" s="14">
        <f>GETPIVOTDATA("Gross_Sales",'Two-Way INDEX'!$A$3,"Category",IF($H$4=1,"Consulting",IF($H$4=2,"Hardware",IF($H$4=3,"IT",IF($H$4=4,"Software","Training")))), "Months (Order_Date)",B9)</f>
        <v>89600</v>
      </c>
    </row>
    <row r="10" spans="2:14" x14ac:dyDescent="0.25">
      <c r="B10" s="12">
        <v>2</v>
      </c>
      <c r="C10" s="15" t="s">
        <v>148</v>
      </c>
      <c r="D10" s="14">
        <f>GETPIVOTDATA("Gross_Sales",'Two-Way INDEX'!$A$3,"Category",IF($H$4=1,"Consulting",IF($H$4=2,"Hardware",IF($H$4=3,"IT",IF($H$4=4,"Software","Training")))), "Months (Order_Date)",B10)</f>
        <v>127200</v>
      </c>
    </row>
    <row r="11" spans="2:14" x14ac:dyDescent="0.25">
      <c r="B11" s="12">
        <v>3</v>
      </c>
      <c r="C11" s="15" t="s">
        <v>149</v>
      </c>
      <c r="D11" s="14">
        <f>GETPIVOTDATA("Gross_Sales",'Two-Way INDEX'!$A$3,"Category",IF($H$4=1,"Consulting",IF($H$4=2,"Hardware",IF($H$4=3,"IT",IF($H$4=4,"Software","Training")))), "Months (Order_Date)",B11)</f>
        <v>133700</v>
      </c>
    </row>
    <row r="12" spans="2:14" x14ac:dyDescent="0.25">
      <c r="B12" s="12">
        <v>4</v>
      </c>
      <c r="C12" s="15" t="s">
        <v>150</v>
      </c>
      <c r="D12" s="14">
        <f>GETPIVOTDATA("Gross_Sales",'Two-Way INDEX'!$A$3,"Category",IF($H$4=1,"Consulting",IF($H$4=2,"Hardware",IF($H$4=3,"IT",IF($H$4=4,"Software","Training")))), "Months (Order_Date)",B12)</f>
        <v>0</v>
      </c>
    </row>
    <row r="13" spans="2:14" x14ac:dyDescent="0.25">
      <c r="B13" s="12">
        <v>5</v>
      </c>
      <c r="C13" s="15" t="s">
        <v>151</v>
      </c>
      <c r="D13" s="14">
        <f>GETPIVOTDATA("Gross_Sales",'Two-Way INDEX'!$A$3,"Category",IF($H$4=1,"Consulting",IF($H$4=2,"Hardware",IF($H$4=3,"IT",IF($H$4=4,"Software","Training")))), "Months (Order_Date)",B13)</f>
        <v>346200</v>
      </c>
    </row>
    <row r="14" spans="2:14" x14ac:dyDescent="0.25">
      <c r="B14" s="12">
        <v>6</v>
      </c>
      <c r="C14" s="15" t="s">
        <v>152</v>
      </c>
      <c r="D14" s="14">
        <f>GETPIVOTDATA("Gross_Sales",'Two-Way INDEX'!$A$3,"Category",IF($H$4=1,"Consulting",IF($H$4=2,"Hardware",IF($H$4=3,"IT",IF($H$4=4,"Software","Training")))), "Months (Order_Date)",B14)</f>
        <v>68100</v>
      </c>
    </row>
    <row r="15" spans="2:14" x14ac:dyDescent="0.25">
      <c r="B15" s="12">
        <v>7</v>
      </c>
      <c r="C15" s="15" t="s">
        <v>153</v>
      </c>
      <c r="D15" s="14">
        <f>GETPIVOTDATA("Gross_Sales",'Two-Way INDEX'!$A$3,"Category",IF($H$4=1,"Consulting",IF($H$4=2,"Hardware",IF($H$4=3,"IT",IF($H$4=4,"Software","Training")))), "Months (Order_Date)",B15)</f>
        <v>0</v>
      </c>
    </row>
    <row r="16" spans="2:14" x14ac:dyDescent="0.25">
      <c r="B16" s="12">
        <v>8</v>
      </c>
      <c r="C16" s="15" t="s">
        <v>154</v>
      </c>
      <c r="D16" s="14">
        <f>GETPIVOTDATA("Gross_Sales",'Two-Way INDEX'!$A$3,"Category",IF($H$4=1,"Consulting",IF($H$4=2,"Hardware",IF($H$4=3,"IT",IF($H$4=4,"Software","Training")))), "Months (Order_Date)",B16)</f>
        <v>115900</v>
      </c>
    </row>
    <row r="17" spans="2:4" x14ac:dyDescent="0.25">
      <c r="B17" s="12">
        <v>9</v>
      </c>
      <c r="C17" s="15" t="s">
        <v>155</v>
      </c>
      <c r="D17" s="14">
        <f>GETPIVOTDATA("Gross_Sales",'Two-Way INDEX'!$A$3,"Category",IF($H$4=1,"Consulting",IF($H$4=2,"Hardware",IF($H$4=3,"IT",IF($H$4=4,"Software","Training")))), "Months (Order_Date)",B17)</f>
        <v>40100</v>
      </c>
    </row>
    <row r="18" spans="2:4" x14ac:dyDescent="0.25">
      <c r="B18" s="12">
        <v>10</v>
      </c>
      <c r="C18" s="15" t="s">
        <v>156</v>
      </c>
      <c r="D18" s="14">
        <f>GETPIVOTDATA("Gross_Sales",'Two-Way INDEX'!$A$3,"Category",IF($H$4=1,"Consulting",IF($H$4=2,"Hardware",IF($H$4=3,"IT",IF($H$4=4,"Software","Training")))), "Months (Order_Date)",B18)</f>
        <v>63600</v>
      </c>
    </row>
    <row r="19" spans="2:4" x14ac:dyDescent="0.25">
      <c r="B19" s="12">
        <v>11</v>
      </c>
      <c r="C19" s="15" t="s">
        <v>157</v>
      </c>
      <c r="D19" s="14">
        <f>GETPIVOTDATA("Gross_Sales",'Two-Way INDEX'!$A$3,"Category",IF($H$4=1,"Consulting",IF($H$4=2,"Hardware",IF($H$4=3,"IT",IF($H$4=4,"Software","Training")))), "Months (Order_Date)",B19)</f>
        <v>114400</v>
      </c>
    </row>
    <row r="20" spans="2:4" x14ac:dyDescent="0.25">
      <c r="B20" s="12">
        <v>12</v>
      </c>
      <c r="C20" s="15" t="s">
        <v>158</v>
      </c>
      <c r="D20" s="14">
        <f>GETPIVOTDATA("Gross_Sales",'Two-Way INDEX'!$A$3,"Category",IF($H$4=1,"Consulting",IF($H$4=2,"Hardware",IF($H$4=3,"IT",IF($H$4=4,"Software","Training")))), "Months (Order_Date)",B20)</f>
        <v>0</v>
      </c>
    </row>
    <row r="22" spans="2:4" x14ac:dyDescent="0.25">
      <c r="C22" t="str">
        <f>IF(J3=FALSE,"","Grand Total")</f>
        <v>Grand Total</v>
      </c>
      <c r="D22" s="8">
        <f>IF(J3=FALSE, "",SUM(D9:D20))</f>
        <v>1098800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anchor moveWithCells="1">
                  <from>
                    <xdr:col>1</xdr:col>
                    <xdr:colOff>600075</xdr:colOff>
                    <xdr:row>5</xdr:row>
                    <xdr:rowOff>161925</xdr:rowOff>
                  </from>
                  <to>
                    <xdr:col>4</xdr:col>
                    <xdr:colOff>190500</xdr:colOff>
                    <xdr:row>6</xdr:row>
                    <xdr:rowOff>180975</xdr:rowOff>
                  </to>
                </anchor>
              </controlPr>
            </control>
          </mc:Choice>
        </mc:AlternateContent>
        <mc:AlternateContent xmlns:mc="http://schemas.openxmlformats.org/markup-compatibility/2006">
          <mc:Choice Requires="x14">
            <control shapeId="4099" r:id="rId4" name="Check Box 3">
              <controlPr defaultSize="0" autoFill="0" autoLine="0" autoPict="0">
                <anchor moveWithCells="1">
                  <from>
                    <xdr:col>1</xdr:col>
                    <xdr:colOff>590550</xdr:colOff>
                    <xdr:row>3</xdr:row>
                    <xdr:rowOff>171450</xdr:rowOff>
                  </from>
                  <to>
                    <xdr:col>3</xdr:col>
                    <xdr:colOff>762000</xdr:colOff>
                    <xdr:row>5</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91085-2DE5-4F5A-A664-D2A9F601E684}">
  <sheetPr codeName="Sheet2"/>
  <dimension ref="B2:E452"/>
  <sheetViews>
    <sheetView showGridLines="0" workbookViewId="0">
      <selection activeCell="B1" sqref="B1"/>
    </sheetView>
  </sheetViews>
  <sheetFormatPr defaultRowHeight="15" x14ac:dyDescent="0.25"/>
  <cols>
    <col min="2" max="2" width="12.85546875" bestFit="1" customWidth="1"/>
    <col min="3" max="3" width="11.140625" bestFit="1" customWidth="1"/>
    <col min="5" max="5" width="14.42578125" bestFit="1" customWidth="1"/>
  </cols>
  <sheetData>
    <row r="2" spans="2:5" x14ac:dyDescent="0.25">
      <c r="E2" t="s">
        <v>162</v>
      </c>
    </row>
    <row r="3" spans="2:5" x14ac:dyDescent="0.25">
      <c r="B3" t="s">
        <v>2</v>
      </c>
      <c r="C3" t="s">
        <v>4</v>
      </c>
      <c r="E3" s="2">
        <f ca="1">TODAY()</f>
        <v>46231</v>
      </c>
    </row>
    <row r="4" spans="2:5" x14ac:dyDescent="0.25">
      <c r="B4" s="1" t="s">
        <v>15</v>
      </c>
      <c r="C4" s="1" t="s">
        <v>16</v>
      </c>
      <c r="E4" s="2">
        <v>46238</v>
      </c>
    </row>
    <row r="5" spans="2:5" x14ac:dyDescent="0.25">
      <c r="B5" s="1" t="s">
        <v>27</v>
      </c>
      <c r="C5" s="1" t="s">
        <v>12</v>
      </c>
      <c r="E5" s="2">
        <v>46245</v>
      </c>
    </row>
    <row r="6" spans="2:5" x14ac:dyDescent="0.25">
      <c r="B6" s="1" t="s">
        <v>19</v>
      </c>
      <c r="C6" s="1" t="s">
        <v>20</v>
      </c>
      <c r="E6" s="2">
        <v>46252</v>
      </c>
    </row>
    <row r="7" spans="2:5" x14ac:dyDescent="0.25">
      <c r="B7" s="1" t="s">
        <v>10</v>
      </c>
      <c r="C7" s="1" t="s">
        <v>24</v>
      </c>
      <c r="E7" s="2">
        <v>46259</v>
      </c>
    </row>
    <row r="8" spans="2:5" x14ac:dyDescent="0.25">
      <c r="C8" s="1" t="s">
        <v>36</v>
      </c>
      <c r="E8" s="2">
        <v>46266</v>
      </c>
    </row>
    <row r="9" spans="2:5" x14ac:dyDescent="0.25">
      <c r="E9" s="2">
        <v>46273</v>
      </c>
    </row>
    <row r="10" spans="2:5" x14ac:dyDescent="0.25">
      <c r="E10" s="2">
        <v>46280</v>
      </c>
    </row>
    <row r="11" spans="2:5" x14ac:dyDescent="0.25">
      <c r="E11" s="2">
        <v>46287</v>
      </c>
    </row>
    <row r="12" spans="2:5" x14ac:dyDescent="0.25">
      <c r="E12" s="2">
        <v>46294</v>
      </c>
    </row>
    <row r="13" spans="2:5" x14ac:dyDescent="0.25">
      <c r="E13" s="2">
        <v>46301</v>
      </c>
    </row>
    <row r="14" spans="2:5" x14ac:dyDescent="0.25">
      <c r="E14" s="2">
        <v>46308</v>
      </c>
    </row>
    <row r="15" spans="2:5" x14ac:dyDescent="0.25">
      <c r="E15" s="2">
        <v>46315</v>
      </c>
    </row>
    <row r="16" spans="2:5" x14ac:dyDescent="0.25">
      <c r="E16" s="2">
        <v>46322</v>
      </c>
    </row>
    <row r="17" spans="5:5" x14ac:dyDescent="0.25">
      <c r="E17" s="2">
        <f t="shared" ref="E17:E80" ca="1" si="0">TODAY()</f>
        <v>46231</v>
      </c>
    </row>
    <row r="18" spans="5:5" x14ac:dyDescent="0.25">
      <c r="E18" s="2">
        <v>46329</v>
      </c>
    </row>
    <row r="19" spans="5:5" x14ac:dyDescent="0.25">
      <c r="E19" s="2">
        <v>46336</v>
      </c>
    </row>
    <row r="20" spans="5:5" x14ac:dyDescent="0.25">
      <c r="E20" s="2">
        <v>46343</v>
      </c>
    </row>
    <row r="21" spans="5:5" x14ac:dyDescent="0.25">
      <c r="E21" s="2">
        <v>46350</v>
      </c>
    </row>
    <row r="22" spans="5:5" x14ac:dyDescent="0.25">
      <c r="E22" s="2">
        <v>46357</v>
      </c>
    </row>
    <row r="23" spans="5:5" x14ac:dyDescent="0.25">
      <c r="E23" s="2">
        <v>46364</v>
      </c>
    </row>
    <row r="24" spans="5:5" x14ac:dyDescent="0.25">
      <c r="E24" s="2">
        <v>46371</v>
      </c>
    </row>
    <row r="25" spans="5:5" x14ac:dyDescent="0.25">
      <c r="E25" s="2">
        <v>46378</v>
      </c>
    </row>
    <row r="26" spans="5:5" x14ac:dyDescent="0.25">
      <c r="E26" s="2">
        <v>46385</v>
      </c>
    </row>
    <row r="27" spans="5:5" x14ac:dyDescent="0.25">
      <c r="E27" s="2">
        <v>46392</v>
      </c>
    </row>
    <row r="28" spans="5:5" x14ac:dyDescent="0.25">
      <c r="E28" s="2">
        <v>46399</v>
      </c>
    </row>
    <row r="29" spans="5:5" x14ac:dyDescent="0.25">
      <c r="E29" s="2">
        <v>46406</v>
      </c>
    </row>
    <row r="30" spans="5:5" x14ac:dyDescent="0.25">
      <c r="E30" s="2">
        <v>46413</v>
      </c>
    </row>
    <row r="31" spans="5:5" x14ac:dyDescent="0.25">
      <c r="E31" s="2">
        <f t="shared" ref="E31:E94" ca="1" si="1">TODAY()</f>
        <v>46231</v>
      </c>
    </row>
    <row r="32" spans="5:5" x14ac:dyDescent="0.25">
      <c r="E32" s="2">
        <v>46420</v>
      </c>
    </row>
    <row r="33" spans="5:5" x14ac:dyDescent="0.25">
      <c r="E33" s="2">
        <v>46427</v>
      </c>
    </row>
    <row r="34" spans="5:5" x14ac:dyDescent="0.25">
      <c r="E34" s="2">
        <v>46434</v>
      </c>
    </row>
    <row r="35" spans="5:5" x14ac:dyDescent="0.25">
      <c r="E35" s="2">
        <v>46441</v>
      </c>
    </row>
    <row r="36" spans="5:5" x14ac:dyDescent="0.25">
      <c r="E36" s="2">
        <v>46448</v>
      </c>
    </row>
    <row r="37" spans="5:5" x14ac:dyDescent="0.25">
      <c r="E37" s="2">
        <v>46455</v>
      </c>
    </row>
    <row r="38" spans="5:5" x14ac:dyDescent="0.25">
      <c r="E38" s="2">
        <v>46462</v>
      </c>
    </row>
    <row r="39" spans="5:5" x14ac:dyDescent="0.25">
      <c r="E39" s="2">
        <v>46469</v>
      </c>
    </row>
    <row r="40" spans="5:5" x14ac:dyDescent="0.25">
      <c r="E40" s="2">
        <v>46476</v>
      </c>
    </row>
    <row r="41" spans="5:5" x14ac:dyDescent="0.25">
      <c r="E41" s="2">
        <v>46483</v>
      </c>
    </row>
    <row r="42" spans="5:5" x14ac:dyDescent="0.25">
      <c r="E42" s="2">
        <v>46490</v>
      </c>
    </row>
    <row r="43" spans="5:5" x14ac:dyDescent="0.25">
      <c r="E43" s="2">
        <v>46497</v>
      </c>
    </row>
    <row r="44" spans="5:5" x14ac:dyDescent="0.25">
      <c r="E44" s="2">
        <v>46504</v>
      </c>
    </row>
    <row r="45" spans="5:5" x14ac:dyDescent="0.25">
      <c r="E45" s="2">
        <f t="shared" ref="E45:E108" ca="1" si="2">TODAY()</f>
        <v>46231</v>
      </c>
    </row>
    <row r="46" spans="5:5" x14ac:dyDescent="0.25">
      <c r="E46" s="2">
        <v>46511</v>
      </c>
    </row>
    <row r="47" spans="5:5" x14ac:dyDescent="0.25">
      <c r="E47" s="2">
        <v>46518</v>
      </c>
    </row>
    <row r="48" spans="5:5" x14ac:dyDescent="0.25">
      <c r="E48" s="2">
        <v>46525</v>
      </c>
    </row>
    <row r="49" spans="5:5" x14ac:dyDescent="0.25">
      <c r="E49" s="2">
        <v>46532</v>
      </c>
    </row>
    <row r="50" spans="5:5" x14ac:dyDescent="0.25">
      <c r="E50" s="2">
        <v>46539</v>
      </c>
    </row>
    <row r="51" spans="5:5" x14ac:dyDescent="0.25">
      <c r="E51" s="2">
        <v>46546</v>
      </c>
    </row>
    <row r="52" spans="5:5" x14ac:dyDescent="0.25">
      <c r="E52" s="2">
        <v>46553</v>
      </c>
    </row>
    <row r="53" spans="5:5" x14ac:dyDescent="0.25">
      <c r="E53" s="2">
        <v>46560</v>
      </c>
    </row>
    <row r="54" spans="5:5" x14ac:dyDescent="0.25">
      <c r="E54" s="2">
        <v>46567</v>
      </c>
    </row>
    <row r="55" spans="5:5" x14ac:dyDescent="0.25">
      <c r="E55" s="2">
        <v>46574</v>
      </c>
    </row>
    <row r="56" spans="5:5" x14ac:dyDescent="0.25">
      <c r="E56" s="2">
        <v>46581</v>
      </c>
    </row>
    <row r="57" spans="5:5" x14ac:dyDescent="0.25">
      <c r="E57" s="2">
        <v>46588</v>
      </c>
    </row>
    <row r="58" spans="5:5" x14ac:dyDescent="0.25">
      <c r="E58" s="2">
        <v>46595</v>
      </c>
    </row>
    <row r="59" spans="5:5" x14ac:dyDescent="0.25">
      <c r="E59" s="2">
        <f t="shared" ref="E59:E122" ca="1" si="3">TODAY()</f>
        <v>46231</v>
      </c>
    </row>
    <row r="60" spans="5:5" x14ac:dyDescent="0.25">
      <c r="E60" s="2">
        <v>46602</v>
      </c>
    </row>
    <row r="61" spans="5:5" x14ac:dyDescent="0.25">
      <c r="E61" s="2">
        <v>46609</v>
      </c>
    </row>
    <row r="62" spans="5:5" x14ac:dyDescent="0.25">
      <c r="E62" s="2">
        <v>46616</v>
      </c>
    </row>
    <row r="63" spans="5:5" x14ac:dyDescent="0.25">
      <c r="E63" s="2">
        <v>46623</v>
      </c>
    </row>
    <row r="64" spans="5:5" x14ac:dyDescent="0.25">
      <c r="E64" s="2">
        <v>46630</v>
      </c>
    </row>
    <row r="65" spans="5:5" x14ac:dyDescent="0.25">
      <c r="E65" s="2">
        <v>46637</v>
      </c>
    </row>
    <row r="66" spans="5:5" x14ac:dyDescent="0.25">
      <c r="E66" s="2">
        <v>46644</v>
      </c>
    </row>
    <row r="67" spans="5:5" x14ac:dyDescent="0.25">
      <c r="E67" s="2">
        <v>46651</v>
      </c>
    </row>
    <row r="68" spans="5:5" x14ac:dyDescent="0.25">
      <c r="E68" s="2">
        <v>46658</v>
      </c>
    </row>
    <row r="69" spans="5:5" x14ac:dyDescent="0.25">
      <c r="E69" s="2">
        <v>46665</v>
      </c>
    </row>
    <row r="70" spans="5:5" x14ac:dyDescent="0.25">
      <c r="E70" s="2">
        <v>46672</v>
      </c>
    </row>
    <row r="71" spans="5:5" x14ac:dyDescent="0.25">
      <c r="E71" s="2">
        <v>46679</v>
      </c>
    </row>
    <row r="72" spans="5:5" x14ac:dyDescent="0.25">
      <c r="E72" s="2">
        <v>46686</v>
      </c>
    </row>
    <row r="73" spans="5:5" x14ac:dyDescent="0.25">
      <c r="E73" s="2">
        <f t="shared" ref="E73:E136" ca="1" si="4">TODAY()</f>
        <v>46231</v>
      </c>
    </row>
    <row r="74" spans="5:5" x14ac:dyDescent="0.25">
      <c r="E74" s="2">
        <v>46693</v>
      </c>
    </row>
    <row r="75" spans="5:5" x14ac:dyDescent="0.25">
      <c r="E75" s="2">
        <v>46700</v>
      </c>
    </row>
    <row r="76" spans="5:5" x14ac:dyDescent="0.25">
      <c r="E76" s="2">
        <v>46707</v>
      </c>
    </row>
    <row r="77" spans="5:5" x14ac:dyDescent="0.25">
      <c r="E77" s="2">
        <v>46714</v>
      </c>
    </row>
    <row r="78" spans="5:5" x14ac:dyDescent="0.25">
      <c r="E78" s="2">
        <v>46721</v>
      </c>
    </row>
    <row r="79" spans="5:5" x14ac:dyDescent="0.25">
      <c r="E79" s="2">
        <v>46728</v>
      </c>
    </row>
    <row r="80" spans="5:5" x14ac:dyDescent="0.25">
      <c r="E80" s="2">
        <v>46735</v>
      </c>
    </row>
    <row r="81" spans="5:5" x14ac:dyDescent="0.25">
      <c r="E81" s="2">
        <v>46742</v>
      </c>
    </row>
    <row r="82" spans="5:5" x14ac:dyDescent="0.25">
      <c r="E82" s="2">
        <v>46749</v>
      </c>
    </row>
    <row r="83" spans="5:5" x14ac:dyDescent="0.25">
      <c r="E83" s="2">
        <v>46756</v>
      </c>
    </row>
    <row r="84" spans="5:5" x14ac:dyDescent="0.25">
      <c r="E84" s="2">
        <v>46763</v>
      </c>
    </row>
    <row r="85" spans="5:5" x14ac:dyDescent="0.25">
      <c r="E85" s="2">
        <v>46770</v>
      </c>
    </row>
    <row r="86" spans="5:5" x14ac:dyDescent="0.25">
      <c r="E86" s="2">
        <v>46777</v>
      </c>
    </row>
    <row r="87" spans="5:5" x14ac:dyDescent="0.25">
      <c r="E87" s="2">
        <f t="shared" ref="E87:E150" ca="1" si="5">TODAY()</f>
        <v>46231</v>
      </c>
    </row>
    <row r="88" spans="5:5" x14ac:dyDescent="0.25">
      <c r="E88" s="2">
        <v>46784</v>
      </c>
    </row>
    <row r="89" spans="5:5" x14ac:dyDescent="0.25">
      <c r="E89" s="2">
        <v>46791</v>
      </c>
    </row>
    <row r="90" spans="5:5" x14ac:dyDescent="0.25">
      <c r="E90" s="2">
        <v>46798</v>
      </c>
    </row>
    <row r="91" spans="5:5" x14ac:dyDescent="0.25">
      <c r="E91" s="2">
        <v>46805</v>
      </c>
    </row>
    <row r="92" spans="5:5" x14ac:dyDescent="0.25">
      <c r="E92" s="2">
        <v>46812</v>
      </c>
    </row>
    <row r="93" spans="5:5" x14ac:dyDescent="0.25">
      <c r="E93" s="2">
        <v>46819</v>
      </c>
    </row>
    <row r="94" spans="5:5" x14ac:dyDescent="0.25">
      <c r="E94" s="2">
        <v>46826</v>
      </c>
    </row>
    <row r="95" spans="5:5" x14ac:dyDescent="0.25">
      <c r="E95" s="2">
        <v>46833</v>
      </c>
    </row>
    <row r="96" spans="5:5" x14ac:dyDescent="0.25">
      <c r="E96" s="2">
        <v>46840</v>
      </c>
    </row>
    <row r="97" spans="5:5" x14ac:dyDescent="0.25">
      <c r="E97" s="2">
        <v>46847</v>
      </c>
    </row>
    <row r="98" spans="5:5" x14ac:dyDescent="0.25">
      <c r="E98" s="2">
        <v>46854</v>
      </c>
    </row>
    <row r="99" spans="5:5" x14ac:dyDescent="0.25">
      <c r="E99" s="2">
        <v>46861</v>
      </c>
    </row>
    <row r="100" spans="5:5" x14ac:dyDescent="0.25">
      <c r="E100" s="2">
        <v>46868</v>
      </c>
    </row>
    <row r="101" spans="5:5" x14ac:dyDescent="0.25">
      <c r="E101" s="2">
        <f t="shared" ref="E101:E164" ca="1" si="6">TODAY()</f>
        <v>46231</v>
      </c>
    </row>
    <row r="102" spans="5:5" x14ac:dyDescent="0.25">
      <c r="E102" s="2">
        <v>46875</v>
      </c>
    </row>
    <row r="103" spans="5:5" x14ac:dyDescent="0.25">
      <c r="E103" s="2">
        <v>46882</v>
      </c>
    </row>
    <row r="104" spans="5:5" x14ac:dyDescent="0.25">
      <c r="E104" s="2">
        <v>46889</v>
      </c>
    </row>
    <row r="105" spans="5:5" x14ac:dyDescent="0.25">
      <c r="E105" s="2">
        <v>46896</v>
      </c>
    </row>
    <row r="106" spans="5:5" x14ac:dyDescent="0.25">
      <c r="E106" s="2">
        <v>46903</v>
      </c>
    </row>
    <row r="107" spans="5:5" x14ac:dyDescent="0.25">
      <c r="E107" s="2">
        <v>46910</v>
      </c>
    </row>
    <row r="108" spans="5:5" x14ac:dyDescent="0.25">
      <c r="E108" s="2">
        <v>46917</v>
      </c>
    </row>
    <row r="109" spans="5:5" x14ac:dyDescent="0.25">
      <c r="E109" s="2">
        <v>46924</v>
      </c>
    </row>
    <row r="110" spans="5:5" x14ac:dyDescent="0.25">
      <c r="E110" s="2">
        <v>46931</v>
      </c>
    </row>
    <row r="111" spans="5:5" x14ac:dyDescent="0.25">
      <c r="E111" s="2">
        <v>46938</v>
      </c>
    </row>
    <row r="112" spans="5:5" x14ac:dyDescent="0.25">
      <c r="E112" s="2">
        <v>46945</v>
      </c>
    </row>
    <row r="113" spans="5:5" x14ac:dyDescent="0.25">
      <c r="E113" s="2">
        <v>46952</v>
      </c>
    </row>
    <row r="114" spans="5:5" x14ac:dyDescent="0.25">
      <c r="E114" s="2">
        <v>46959</v>
      </c>
    </row>
    <row r="115" spans="5:5" x14ac:dyDescent="0.25">
      <c r="E115" s="2">
        <f t="shared" ref="E115:E178" ca="1" si="7">TODAY()</f>
        <v>46231</v>
      </c>
    </row>
    <row r="116" spans="5:5" x14ac:dyDescent="0.25">
      <c r="E116" s="2">
        <v>46966</v>
      </c>
    </row>
    <row r="117" spans="5:5" x14ac:dyDescent="0.25">
      <c r="E117" s="2">
        <v>46973</v>
      </c>
    </row>
    <row r="118" spans="5:5" x14ac:dyDescent="0.25">
      <c r="E118" s="2">
        <v>46980</v>
      </c>
    </row>
    <row r="119" spans="5:5" x14ac:dyDescent="0.25">
      <c r="E119" s="2">
        <v>46987</v>
      </c>
    </row>
    <row r="120" spans="5:5" x14ac:dyDescent="0.25">
      <c r="E120" s="2">
        <v>46994</v>
      </c>
    </row>
    <row r="121" spans="5:5" x14ac:dyDescent="0.25">
      <c r="E121" s="2">
        <v>47001</v>
      </c>
    </row>
    <row r="122" spans="5:5" x14ac:dyDescent="0.25">
      <c r="E122" s="2">
        <v>47008</v>
      </c>
    </row>
    <row r="123" spans="5:5" x14ac:dyDescent="0.25">
      <c r="E123" s="2">
        <v>47015</v>
      </c>
    </row>
    <row r="124" spans="5:5" x14ac:dyDescent="0.25">
      <c r="E124" s="2">
        <v>47022</v>
      </c>
    </row>
    <row r="125" spans="5:5" x14ac:dyDescent="0.25">
      <c r="E125" s="2">
        <v>47029</v>
      </c>
    </row>
    <row r="126" spans="5:5" x14ac:dyDescent="0.25">
      <c r="E126" s="2">
        <v>47036</v>
      </c>
    </row>
    <row r="127" spans="5:5" x14ac:dyDescent="0.25">
      <c r="E127" s="2">
        <v>47043</v>
      </c>
    </row>
    <row r="128" spans="5:5" x14ac:dyDescent="0.25">
      <c r="E128" s="2">
        <v>47050</v>
      </c>
    </row>
    <row r="129" spans="5:5" x14ac:dyDescent="0.25">
      <c r="E129" s="2">
        <f t="shared" ref="E129:E192" ca="1" si="8">TODAY()</f>
        <v>46231</v>
      </c>
    </row>
    <row r="130" spans="5:5" x14ac:dyDescent="0.25">
      <c r="E130" s="2">
        <v>47057</v>
      </c>
    </row>
    <row r="131" spans="5:5" x14ac:dyDescent="0.25">
      <c r="E131" s="2">
        <v>47064</v>
      </c>
    </row>
    <row r="132" spans="5:5" x14ac:dyDescent="0.25">
      <c r="E132" s="2">
        <v>47071</v>
      </c>
    </row>
    <row r="133" spans="5:5" x14ac:dyDescent="0.25">
      <c r="E133" s="2">
        <v>47078</v>
      </c>
    </row>
    <row r="134" spans="5:5" x14ac:dyDescent="0.25">
      <c r="E134" s="2">
        <v>47085</v>
      </c>
    </row>
    <row r="135" spans="5:5" x14ac:dyDescent="0.25">
      <c r="E135" s="2">
        <v>47092</v>
      </c>
    </row>
    <row r="136" spans="5:5" x14ac:dyDescent="0.25">
      <c r="E136" s="2">
        <v>47099</v>
      </c>
    </row>
    <row r="137" spans="5:5" x14ac:dyDescent="0.25">
      <c r="E137" s="2">
        <v>47106</v>
      </c>
    </row>
    <row r="138" spans="5:5" x14ac:dyDescent="0.25">
      <c r="E138" s="2">
        <v>47113</v>
      </c>
    </row>
    <row r="139" spans="5:5" x14ac:dyDescent="0.25">
      <c r="E139" s="2">
        <v>47120</v>
      </c>
    </row>
    <row r="140" spans="5:5" x14ac:dyDescent="0.25">
      <c r="E140" s="2">
        <v>47127</v>
      </c>
    </row>
    <row r="141" spans="5:5" x14ac:dyDescent="0.25">
      <c r="E141" s="2">
        <v>47134</v>
      </c>
    </row>
    <row r="142" spans="5:5" x14ac:dyDescent="0.25">
      <c r="E142" s="2">
        <v>47141</v>
      </c>
    </row>
    <row r="143" spans="5:5" x14ac:dyDescent="0.25">
      <c r="E143" s="2">
        <f t="shared" ref="E143:E206" ca="1" si="9">TODAY()</f>
        <v>46231</v>
      </c>
    </row>
    <row r="144" spans="5:5" x14ac:dyDescent="0.25">
      <c r="E144" s="2">
        <v>47148</v>
      </c>
    </row>
    <row r="145" spans="5:5" x14ac:dyDescent="0.25">
      <c r="E145" s="2">
        <v>47155</v>
      </c>
    </row>
    <row r="146" spans="5:5" x14ac:dyDescent="0.25">
      <c r="E146" s="2">
        <v>47162</v>
      </c>
    </row>
    <row r="147" spans="5:5" x14ac:dyDescent="0.25">
      <c r="E147" s="2">
        <v>47169</v>
      </c>
    </row>
    <row r="148" spans="5:5" x14ac:dyDescent="0.25">
      <c r="E148" s="2">
        <v>47176</v>
      </c>
    </row>
    <row r="149" spans="5:5" x14ac:dyDescent="0.25">
      <c r="E149" s="2">
        <v>47183</v>
      </c>
    </row>
    <row r="150" spans="5:5" x14ac:dyDescent="0.25">
      <c r="E150" s="2">
        <v>47190</v>
      </c>
    </row>
    <row r="151" spans="5:5" x14ac:dyDescent="0.25">
      <c r="E151" s="2">
        <v>47197</v>
      </c>
    </row>
    <row r="152" spans="5:5" x14ac:dyDescent="0.25">
      <c r="E152" s="2">
        <v>47204</v>
      </c>
    </row>
    <row r="153" spans="5:5" x14ac:dyDescent="0.25">
      <c r="E153" s="2">
        <v>47211</v>
      </c>
    </row>
    <row r="154" spans="5:5" x14ac:dyDescent="0.25">
      <c r="E154" s="2">
        <v>47218</v>
      </c>
    </row>
    <row r="155" spans="5:5" x14ac:dyDescent="0.25">
      <c r="E155" s="2">
        <v>47225</v>
      </c>
    </row>
    <row r="156" spans="5:5" x14ac:dyDescent="0.25">
      <c r="E156" s="2">
        <v>47232</v>
      </c>
    </row>
    <row r="157" spans="5:5" x14ac:dyDescent="0.25">
      <c r="E157" s="2">
        <f t="shared" ref="E157:E220" ca="1" si="10">TODAY()</f>
        <v>46231</v>
      </c>
    </row>
    <row r="158" spans="5:5" x14ac:dyDescent="0.25">
      <c r="E158" s="2">
        <v>47239</v>
      </c>
    </row>
    <row r="159" spans="5:5" x14ac:dyDescent="0.25">
      <c r="E159" s="2">
        <v>47246</v>
      </c>
    </row>
    <row r="160" spans="5:5" x14ac:dyDescent="0.25">
      <c r="E160" s="2">
        <v>47253</v>
      </c>
    </row>
    <row r="161" spans="5:5" x14ac:dyDescent="0.25">
      <c r="E161" s="2">
        <v>47260</v>
      </c>
    </row>
    <row r="162" spans="5:5" x14ac:dyDescent="0.25">
      <c r="E162" s="2">
        <v>47267</v>
      </c>
    </row>
    <row r="163" spans="5:5" x14ac:dyDescent="0.25">
      <c r="E163" s="2">
        <v>47274</v>
      </c>
    </row>
    <row r="164" spans="5:5" x14ac:dyDescent="0.25">
      <c r="E164" s="2">
        <v>47281</v>
      </c>
    </row>
    <row r="165" spans="5:5" x14ac:dyDescent="0.25">
      <c r="E165" s="2">
        <v>47288</v>
      </c>
    </row>
    <row r="166" spans="5:5" x14ac:dyDescent="0.25">
      <c r="E166" s="2">
        <v>47295</v>
      </c>
    </row>
    <row r="167" spans="5:5" x14ac:dyDescent="0.25">
      <c r="E167" s="2">
        <v>47302</v>
      </c>
    </row>
    <row r="168" spans="5:5" x14ac:dyDescent="0.25">
      <c r="E168" s="2">
        <v>47309</v>
      </c>
    </row>
    <row r="169" spans="5:5" x14ac:dyDescent="0.25">
      <c r="E169" s="2">
        <v>47316</v>
      </c>
    </row>
    <row r="170" spans="5:5" x14ac:dyDescent="0.25">
      <c r="E170" s="2">
        <v>47323</v>
      </c>
    </row>
    <row r="171" spans="5:5" x14ac:dyDescent="0.25">
      <c r="E171" s="2">
        <f t="shared" ref="E171:E234" ca="1" si="11">TODAY()</f>
        <v>46231</v>
      </c>
    </row>
    <row r="172" spans="5:5" x14ac:dyDescent="0.25">
      <c r="E172" s="2">
        <v>47330</v>
      </c>
    </row>
    <row r="173" spans="5:5" x14ac:dyDescent="0.25">
      <c r="E173" s="2">
        <v>47337</v>
      </c>
    </row>
    <row r="174" spans="5:5" x14ac:dyDescent="0.25">
      <c r="E174" s="2">
        <v>47344</v>
      </c>
    </row>
    <row r="175" spans="5:5" x14ac:dyDescent="0.25">
      <c r="E175" s="2">
        <v>47351</v>
      </c>
    </row>
    <row r="176" spans="5:5" x14ac:dyDescent="0.25">
      <c r="E176" s="2">
        <v>47358</v>
      </c>
    </row>
    <row r="177" spans="5:5" x14ac:dyDescent="0.25">
      <c r="E177" s="2">
        <v>47365</v>
      </c>
    </row>
    <row r="178" spans="5:5" x14ac:dyDescent="0.25">
      <c r="E178" s="2">
        <v>47372</v>
      </c>
    </row>
    <row r="179" spans="5:5" x14ac:dyDescent="0.25">
      <c r="E179" s="2">
        <v>47379</v>
      </c>
    </row>
    <row r="180" spans="5:5" x14ac:dyDescent="0.25">
      <c r="E180" s="2">
        <v>47386</v>
      </c>
    </row>
    <row r="181" spans="5:5" x14ac:dyDescent="0.25">
      <c r="E181" s="2">
        <v>47393</v>
      </c>
    </row>
    <row r="182" spans="5:5" x14ac:dyDescent="0.25">
      <c r="E182" s="2">
        <v>47400</v>
      </c>
    </row>
    <row r="183" spans="5:5" x14ac:dyDescent="0.25">
      <c r="E183" s="2">
        <v>47407</v>
      </c>
    </row>
    <row r="184" spans="5:5" x14ac:dyDescent="0.25">
      <c r="E184" s="2">
        <v>47414</v>
      </c>
    </row>
    <row r="185" spans="5:5" x14ac:dyDescent="0.25">
      <c r="E185" s="2">
        <f t="shared" ref="E185:E248" ca="1" si="12">TODAY()</f>
        <v>46231</v>
      </c>
    </row>
    <row r="186" spans="5:5" x14ac:dyDescent="0.25">
      <c r="E186" s="2">
        <v>47421</v>
      </c>
    </row>
    <row r="187" spans="5:5" x14ac:dyDescent="0.25">
      <c r="E187" s="2">
        <v>47428</v>
      </c>
    </row>
    <row r="188" spans="5:5" x14ac:dyDescent="0.25">
      <c r="E188" s="2">
        <v>47435</v>
      </c>
    </row>
    <row r="189" spans="5:5" x14ac:dyDescent="0.25">
      <c r="E189" s="2">
        <v>47442</v>
      </c>
    </row>
    <row r="190" spans="5:5" x14ac:dyDescent="0.25">
      <c r="E190" s="2">
        <v>47449</v>
      </c>
    </row>
    <row r="191" spans="5:5" x14ac:dyDescent="0.25">
      <c r="E191" s="2">
        <v>47456</v>
      </c>
    </row>
    <row r="192" spans="5:5" x14ac:dyDescent="0.25">
      <c r="E192" s="2">
        <v>47463</v>
      </c>
    </row>
    <row r="193" spans="5:5" x14ac:dyDescent="0.25">
      <c r="E193" s="2">
        <v>47470</v>
      </c>
    </row>
    <row r="194" spans="5:5" x14ac:dyDescent="0.25">
      <c r="E194" s="2">
        <v>47477</v>
      </c>
    </row>
    <row r="195" spans="5:5" x14ac:dyDescent="0.25">
      <c r="E195" s="2">
        <v>47484</v>
      </c>
    </row>
    <row r="196" spans="5:5" x14ac:dyDescent="0.25">
      <c r="E196" s="2">
        <v>47491</v>
      </c>
    </row>
    <row r="197" spans="5:5" x14ac:dyDescent="0.25">
      <c r="E197" s="2">
        <v>47498</v>
      </c>
    </row>
    <row r="198" spans="5:5" x14ac:dyDescent="0.25">
      <c r="E198" s="2">
        <v>47505</v>
      </c>
    </row>
    <row r="199" spans="5:5" x14ac:dyDescent="0.25">
      <c r="E199" s="2">
        <f t="shared" ref="E199:E262" ca="1" si="13">TODAY()</f>
        <v>46231</v>
      </c>
    </row>
    <row r="200" spans="5:5" x14ac:dyDescent="0.25">
      <c r="E200" s="2">
        <v>47512</v>
      </c>
    </row>
    <row r="201" spans="5:5" x14ac:dyDescent="0.25">
      <c r="E201" s="2">
        <v>47519</v>
      </c>
    </row>
    <row r="202" spans="5:5" x14ac:dyDescent="0.25">
      <c r="E202" s="2">
        <v>47526</v>
      </c>
    </row>
    <row r="203" spans="5:5" x14ac:dyDescent="0.25">
      <c r="E203" s="2">
        <v>47533</v>
      </c>
    </row>
    <row r="204" spans="5:5" x14ac:dyDescent="0.25">
      <c r="E204" s="2">
        <v>47540</v>
      </c>
    </row>
    <row r="205" spans="5:5" x14ac:dyDescent="0.25">
      <c r="E205" s="2">
        <v>47547</v>
      </c>
    </row>
    <row r="206" spans="5:5" x14ac:dyDescent="0.25">
      <c r="E206" s="2">
        <v>47554</v>
      </c>
    </row>
    <row r="207" spans="5:5" x14ac:dyDescent="0.25">
      <c r="E207" s="2">
        <v>47561</v>
      </c>
    </row>
    <row r="208" spans="5:5" x14ac:dyDescent="0.25">
      <c r="E208" s="2">
        <v>47568</v>
      </c>
    </row>
    <row r="209" spans="5:5" x14ac:dyDescent="0.25">
      <c r="E209" s="2">
        <v>47575</v>
      </c>
    </row>
    <row r="210" spans="5:5" x14ac:dyDescent="0.25">
      <c r="E210" s="2">
        <v>47582</v>
      </c>
    </row>
    <row r="211" spans="5:5" x14ac:dyDescent="0.25">
      <c r="E211" s="2">
        <v>47589</v>
      </c>
    </row>
    <row r="212" spans="5:5" x14ac:dyDescent="0.25">
      <c r="E212" s="2">
        <v>47596</v>
      </c>
    </row>
    <row r="213" spans="5:5" x14ac:dyDescent="0.25">
      <c r="E213" s="2">
        <f t="shared" ref="E213:E276" ca="1" si="14">TODAY()</f>
        <v>46231</v>
      </c>
    </row>
    <row r="214" spans="5:5" x14ac:dyDescent="0.25">
      <c r="E214" s="2">
        <v>47603</v>
      </c>
    </row>
    <row r="215" spans="5:5" x14ac:dyDescent="0.25">
      <c r="E215" s="2">
        <v>47610</v>
      </c>
    </row>
    <row r="216" spans="5:5" x14ac:dyDescent="0.25">
      <c r="E216" s="2">
        <v>47617</v>
      </c>
    </row>
    <row r="217" spans="5:5" x14ac:dyDescent="0.25">
      <c r="E217" s="2">
        <v>47624</v>
      </c>
    </row>
    <row r="218" spans="5:5" x14ac:dyDescent="0.25">
      <c r="E218" s="2">
        <v>47631</v>
      </c>
    </row>
    <row r="219" spans="5:5" x14ac:dyDescent="0.25">
      <c r="E219" s="2">
        <v>47638</v>
      </c>
    </row>
    <row r="220" spans="5:5" x14ac:dyDescent="0.25">
      <c r="E220" s="2">
        <v>47645</v>
      </c>
    </row>
    <row r="221" spans="5:5" x14ac:dyDescent="0.25">
      <c r="E221" s="2">
        <v>47652</v>
      </c>
    </row>
    <row r="222" spans="5:5" x14ac:dyDescent="0.25">
      <c r="E222" s="2">
        <v>47659</v>
      </c>
    </row>
    <row r="223" spans="5:5" x14ac:dyDescent="0.25">
      <c r="E223" s="2">
        <v>47666</v>
      </c>
    </row>
    <row r="224" spans="5:5" x14ac:dyDescent="0.25">
      <c r="E224" s="2">
        <v>47673</v>
      </c>
    </row>
    <row r="225" spans="5:5" x14ac:dyDescent="0.25">
      <c r="E225" s="2">
        <v>47680</v>
      </c>
    </row>
    <row r="226" spans="5:5" x14ac:dyDescent="0.25">
      <c r="E226" s="2">
        <v>47687</v>
      </c>
    </row>
    <row r="227" spans="5:5" x14ac:dyDescent="0.25">
      <c r="E227" s="2">
        <f t="shared" ref="E227:E290" ca="1" si="15">TODAY()</f>
        <v>46231</v>
      </c>
    </row>
    <row r="228" spans="5:5" x14ac:dyDescent="0.25">
      <c r="E228" s="2">
        <v>47694</v>
      </c>
    </row>
    <row r="229" spans="5:5" x14ac:dyDescent="0.25">
      <c r="E229" s="2">
        <v>47701</v>
      </c>
    </row>
    <row r="230" spans="5:5" x14ac:dyDescent="0.25">
      <c r="E230" s="2">
        <v>47708</v>
      </c>
    </row>
    <row r="231" spans="5:5" x14ac:dyDescent="0.25">
      <c r="E231" s="2">
        <v>47715</v>
      </c>
    </row>
    <row r="232" spans="5:5" x14ac:dyDescent="0.25">
      <c r="E232" s="2">
        <v>47722</v>
      </c>
    </row>
    <row r="233" spans="5:5" x14ac:dyDescent="0.25">
      <c r="E233" s="2">
        <v>47729</v>
      </c>
    </row>
    <row r="234" spans="5:5" x14ac:dyDescent="0.25">
      <c r="E234" s="2">
        <v>47736</v>
      </c>
    </row>
    <row r="235" spans="5:5" x14ac:dyDescent="0.25">
      <c r="E235" s="2">
        <v>47743</v>
      </c>
    </row>
    <row r="236" spans="5:5" x14ac:dyDescent="0.25">
      <c r="E236" s="2">
        <v>47750</v>
      </c>
    </row>
    <row r="237" spans="5:5" x14ac:dyDescent="0.25">
      <c r="E237" s="2">
        <v>47757</v>
      </c>
    </row>
    <row r="238" spans="5:5" x14ac:dyDescent="0.25">
      <c r="E238" s="2">
        <v>47764</v>
      </c>
    </row>
    <row r="239" spans="5:5" x14ac:dyDescent="0.25">
      <c r="E239" s="2">
        <v>47771</v>
      </c>
    </row>
    <row r="240" spans="5:5" x14ac:dyDescent="0.25">
      <c r="E240" s="2">
        <v>47778</v>
      </c>
    </row>
    <row r="241" spans="5:5" x14ac:dyDescent="0.25">
      <c r="E241" s="2">
        <f t="shared" ref="E241:E304" ca="1" si="16">TODAY()</f>
        <v>46231</v>
      </c>
    </row>
    <row r="242" spans="5:5" x14ac:dyDescent="0.25">
      <c r="E242" s="2">
        <v>47785</v>
      </c>
    </row>
    <row r="243" spans="5:5" x14ac:dyDescent="0.25">
      <c r="E243" s="2">
        <v>47792</v>
      </c>
    </row>
    <row r="244" spans="5:5" x14ac:dyDescent="0.25">
      <c r="E244" s="2">
        <v>47799</v>
      </c>
    </row>
    <row r="245" spans="5:5" x14ac:dyDescent="0.25">
      <c r="E245" s="2">
        <v>47806</v>
      </c>
    </row>
    <row r="246" spans="5:5" x14ac:dyDescent="0.25">
      <c r="E246" s="2">
        <v>47813</v>
      </c>
    </row>
    <row r="247" spans="5:5" x14ac:dyDescent="0.25">
      <c r="E247" s="2">
        <v>47820</v>
      </c>
    </row>
    <row r="248" spans="5:5" x14ac:dyDescent="0.25">
      <c r="E248" s="2">
        <v>47827</v>
      </c>
    </row>
    <row r="249" spans="5:5" x14ac:dyDescent="0.25">
      <c r="E249" s="2">
        <v>47834</v>
      </c>
    </row>
    <row r="250" spans="5:5" x14ac:dyDescent="0.25">
      <c r="E250" s="2">
        <v>47841</v>
      </c>
    </row>
    <row r="251" spans="5:5" x14ac:dyDescent="0.25">
      <c r="E251" s="2">
        <v>47848</v>
      </c>
    </row>
    <row r="252" spans="5:5" x14ac:dyDescent="0.25">
      <c r="E252" s="2">
        <v>47855</v>
      </c>
    </row>
    <row r="253" spans="5:5" x14ac:dyDescent="0.25">
      <c r="E253" s="2">
        <v>47862</v>
      </c>
    </row>
    <row r="254" spans="5:5" x14ac:dyDescent="0.25">
      <c r="E254" s="2">
        <v>47869</v>
      </c>
    </row>
    <row r="255" spans="5:5" x14ac:dyDescent="0.25">
      <c r="E255" s="2">
        <f t="shared" ref="E255:E286" ca="1" si="17">TODAY()</f>
        <v>46231</v>
      </c>
    </row>
    <row r="256" spans="5:5" x14ac:dyDescent="0.25">
      <c r="E256" s="2">
        <v>47876</v>
      </c>
    </row>
    <row r="257" spans="5:5" x14ac:dyDescent="0.25">
      <c r="E257" s="2">
        <v>47883</v>
      </c>
    </row>
    <row r="258" spans="5:5" x14ac:dyDescent="0.25">
      <c r="E258" s="2">
        <v>47890</v>
      </c>
    </row>
    <row r="259" spans="5:5" x14ac:dyDescent="0.25">
      <c r="E259" s="2">
        <v>47897</v>
      </c>
    </row>
    <row r="260" spans="5:5" x14ac:dyDescent="0.25">
      <c r="E260" s="2">
        <v>47904</v>
      </c>
    </row>
    <row r="261" spans="5:5" x14ac:dyDescent="0.25">
      <c r="E261" s="2">
        <v>47911</v>
      </c>
    </row>
    <row r="262" spans="5:5" x14ac:dyDescent="0.25">
      <c r="E262" s="2">
        <v>47918</v>
      </c>
    </row>
    <row r="263" spans="5:5" x14ac:dyDescent="0.25">
      <c r="E263" s="2">
        <v>47925</v>
      </c>
    </row>
    <row r="264" spans="5:5" x14ac:dyDescent="0.25">
      <c r="E264" s="2">
        <v>47932</v>
      </c>
    </row>
    <row r="265" spans="5:5" x14ac:dyDescent="0.25">
      <c r="E265" s="2">
        <v>47939</v>
      </c>
    </row>
    <row r="266" spans="5:5" x14ac:dyDescent="0.25">
      <c r="E266" s="2">
        <v>47946</v>
      </c>
    </row>
    <row r="267" spans="5:5" x14ac:dyDescent="0.25">
      <c r="E267" s="2">
        <v>47953</v>
      </c>
    </row>
    <row r="268" spans="5:5" x14ac:dyDescent="0.25">
      <c r="E268" s="2">
        <v>47960</v>
      </c>
    </row>
    <row r="269" spans="5:5" x14ac:dyDescent="0.25">
      <c r="E269" s="2">
        <f t="shared" ref="E269:E300" ca="1" si="18">TODAY()</f>
        <v>46231</v>
      </c>
    </row>
    <row r="270" spans="5:5" x14ac:dyDescent="0.25">
      <c r="E270" s="2">
        <v>47967</v>
      </c>
    </row>
    <row r="271" spans="5:5" x14ac:dyDescent="0.25">
      <c r="E271" s="2">
        <v>47974</v>
      </c>
    </row>
    <row r="272" spans="5:5" x14ac:dyDescent="0.25">
      <c r="E272" s="2">
        <v>47981</v>
      </c>
    </row>
    <row r="273" spans="5:5" x14ac:dyDescent="0.25">
      <c r="E273" s="2">
        <v>47988</v>
      </c>
    </row>
    <row r="274" spans="5:5" x14ac:dyDescent="0.25">
      <c r="E274" s="2">
        <v>47995</v>
      </c>
    </row>
    <row r="275" spans="5:5" x14ac:dyDescent="0.25">
      <c r="E275" s="2">
        <v>48002</v>
      </c>
    </row>
    <row r="276" spans="5:5" x14ac:dyDescent="0.25">
      <c r="E276" s="2">
        <v>48009</v>
      </c>
    </row>
    <row r="277" spans="5:5" x14ac:dyDescent="0.25">
      <c r="E277" s="2">
        <v>48016</v>
      </c>
    </row>
    <row r="278" spans="5:5" x14ac:dyDescent="0.25">
      <c r="E278" s="2">
        <v>48023</v>
      </c>
    </row>
    <row r="279" spans="5:5" x14ac:dyDescent="0.25">
      <c r="E279" s="2">
        <v>48030</v>
      </c>
    </row>
    <row r="280" spans="5:5" x14ac:dyDescent="0.25">
      <c r="E280" s="2">
        <v>48037</v>
      </c>
    </row>
    <row r="281" spans="5:5" x14ac:dyDescent="0.25">
      <c r="E281" s="2">
        <v>48044</v>
      </c>
    </row>
    <row r="282" spans="5:5" x14ac:dyDescent="0.25">
      <c r="E282" s="2">
        <v>48051</v>
      </c>
    </row>
    <row r="283" spans="5:5" x14ac:dyDescent="0.25">
      <c r="E283" s="2">
        <f t="shared" ref="E283:E314" ca="1" si="19">TODAY()</f>
        <v>46231</v>
      </c>
    </row>
    <row r="284" spans="5:5" x14ac:dyDescent="0.25">
      <c r="E284" s="2">
        <v>48058</v>
      </c>
    </row>
    <row r="285" spans="5:5" x14ac:dyDescent="0.25">
      <c r="E285" s="2">
        <v>48065</v>
      </c>
    </row>
    <row r="286" spans="5:5" x14ac:dyDescent="0.25">
      <c r="E286" s="2">
        <v>48072</v>
      </c>
    </row>
    <row r="287" spans="5:5" x14ac:dyDescent="0.25">
      <c r="E287" s="2">
        <v>48079</v>
      </c>
    </row>
    <row r="288" spans="5:5" x14ac:dyDescent="0.25">
      <c r="E288" s="2">
        <v>48086</v>
      </c>
    </row>
    <row r="289" spans="5:5" x14ac:dyDescent="0.25">
      <c r="E289" s="2">
        <v>48093</v>
      </c>
    </row>
    <row r="290" spans="5:5" x14ac:dyDescent="0.25">
      <c r="E290" s="2">
        <v>48100</v>
      </c>
    </row>
    <row r="291" spans="5:5" x14ac:dyDescent="0.25">
      <c r="E291" s="2">
        <v>48107</v>
      </c>
    </row>
    <row r="292" spans="5:5" x14ac:dyDescent="0.25">
      <c r="E292" s="2">
        <v>48114</v>
      </c>
    </row>
    <row r="293" spans="5:5" x14ac:dyDescent="0.25">
      <c r="E293" s="2">
        <v>48121</v>
      </c>
    </row>
    <row r="294" spans="5:5" x14ac:dyDescent="0.25">
      <c r="E294" s="2">
        <v>48128</v>
      </c>
    </row>
    <row r="295" spans="5:5" x14ac:dyDescent="0.25">
      <c r="E295" s="2">
        <v>48135</v>
      </c>
    </row>
    <row r="296" spans="5:5" x14ac:dyDescent="0.25">
      <c r="E296" s="2">
        <v>48142</v>
      </c>
    </row>
    <row r="297" spans="5:5" x14ac:dyDescent="0.25">
      <c r="E297" s="2">
        <f t="shared" ref="E297:E328" ca="1" si="20">TODAY()</f>
        <v>46231</v>
      </c>
    </row>
    <row r="298" spans="5:5" x14ac:dyDescent="0.25">
      <c r="E298" s="2">
        <v>48149</v>
      </c>
    </row>
    <row r="299" spans="5:5" x14ac:dyDescent="0.25">
      <c r="E299" s="2">
        <v>48156</v>
      </c>
    </row>
    <row r="300" spans="5:5" x14ac:dyDescent="0.25">
      <c r="E300" s="2">
        <v>48163</v>
      </c>
    </row>
    <row r="301" spans="5:5" x14ac:dyDescent="0.25">
      <c r="E301" s="2">
        <v>48170</v>
      </c>
    </row>
    <row r="302" spans="5:5" x14ac:dyDescent="0.25">
      <c r="E302" s="2">
        <v>48177</v>
      </c>
    </row>
    <row r="303" spans="5:5" x14ac:dyDescent="0.25">
      <c r="E303" s="2">
        <v>48184</v>
      </c>
    </row>
    <row r="304" spans="5:5" x14ac:dyDescent="0.25">
      <c r="E304" s="2">
        <v>48191</v>
      </c>
    </row>
    <row r="305" spans="5:5" x14ac:dyDescent="0.25">
      <c r="E305" s="2">
        <v>48198</v>
      </c>
    </row>
    <row r="306" spans="5:5" x14ac:dyDescent="0.25">
      <c r="E306" s="2">
        <v>48205</v>
      </c>
    </row>
    <row r="307" spans="5:5" x14ac:dyDescent="0.25">
      <c r="E307" s="2">
        <v>48212</v>
      </c>
    </row>
    <row r="308" spans="5:5" x14ac:dyDescent="0.25">
      <c r="E308" s="2">
        <v>48219</v>
      </c>
    </row>
    <row r="309" spans="5:5" x14ac:dyDescent="0.25">
      <c r="E309" s="2">
        <v>48226</v>
      </c>
    </row>
    <row r="310" spans="5:5" x14ac:dyDescent="0.25">
      <c r="E310" s="2">
        <v>48233</v>
      </c>
    </row>
    <row r="311" spans="5:5" x14ac:dyDescent="0.25">
      <c r="E311" s="2">
        <f t="shared" ref="E311:E342" ca="1" si="21">TODAY()</f>
        <v>46231</v>
      </c>
    </row>
    <row r="312" spans="5:5" x14ac:dyDescent="0.25">
      <c r="E312" s="2">
        <v>48240</v>
      </c>
    </row>
    <row r="313" spans="5:5" x14ac:dyDescent="0.25">
      <c r="E313" s="2">
        <v>48247</v>
      </c>
    </row>
    <row r="314" spans="5:5" x14ac:dyDescent="0.25">
      <c r="E314" s="2">
        <v>48254</v>
      </c>
    </row>
    <row r="315" spans="5:5" x14ac:dyDescent="0.25">
      <c r="E315" s="2">
        <v>48261</v>
      </c>
    </row>
    <row r="316" spans="5:5" x14ac:dyDescent="0.25">
      <c r="E316" s="2">
        <v>48268</v>
      </c>
    </row>
    <row r="317" spans="5:5" x14ac:dyDescent="0.25">
      <c r="E317" s="2">
        <v>48275</v>
      </c>
    </row>
    <row r="318" spans="5:5" x14ac:dyDescent="0.25">
      <c r="E318" s="2">
        <v>48282</v>
      </c>
    </row>
    <row r="319" spans="5:5" x14ac:dyDescent="0.25">
      <c r="E319" s="2">
        <v>48289</v>
      </c>
    </row>
    <row r="320" spans="5:5" x14ac:dyDescent="0.25">
      <c r="E320" s="2">
        <v>48296</v>
      </c>
    </row>
    <row r="321" spans="5:5" x14ac:dyDescent="0.25">
      <c r="E321" s="2">
        <v>48303</v>
      </c>
    </row>
    <row r="322" spans="5:5" x14ac:dyDescent="0.25">
      <c r="E322" s="2">
        <v>48310</v>
      </c>
    </row>
    <row r="323" spans="5:5" x14ac:dyDescent="0.25">
      <c r="E323" s="2">
        <v>48317</v>
      </c>
    </row>
    <row r="324" spans="5:5" x14ac:dyDescent="0.25">
      <c r="E324" s="2">
        <v>48324</v>
      </c>
    </row>
    <row r="325" spans="5:5" x14ac:dyDescent="0.25">
      <c r="E325" s="2">
        <f t="shared" ref="E325:E356" ca="1" si="22">TODAY()</f>
        <v>46231</v>
      </c>
    </row>
    <row r="326" spans="5:5" x14ac:dyDescent="0.25">
      <c r="E326" s="2">
        <v>48331</v>
      </c>
    </row>
    <row r="327" spans="5:5" x14ac:dyDescent="0.25">
      <c r="E327" s="2">
        <v>48338</v>
      </c>
    </row>
    <row r="328" spans="5:5" x14ac:dyDescent="0.25">
      <c r="E328" s="2">
        <v>48345</v>
      </c>
    </row>
    <row r="329" spans="5:5" x14ac:dyDescent="0.25">
      <c r="E329" s="2">
        <v>48352</v>
      </c>
    </row>
    <row r="330" spans="5:5" x14ac:dyDescent="0.25">
      <c r="E330" s="2">
        <v>48359</v>
      </c>
    </row>
    <row r="331" spans="5:5" x14ac:dyDescent="0.25">
      <c r="E331" s="2">
        <v>48366</v>
      </c>
    </row>
    <row r="332" spans="5:5" x14ac:dyDescent="0.25">
      <c r="E332" s="2">
        <v>48373</v>
      </c>
    </row>
    <row r="333" spans="5:5" x14ac:dyDescent="0.25">
      <c r="E333" s="2">
        <v>48380</v>
      </c>
    </row>
    <row r="334" spans="5:5" x14ac:dyDescent="0.25">
      <c r="E334" s="2">
        <v>48387</v>
      </c>
    </row>
    <row r="335" spans="5:5" x14ac:dyDescent="0.25">
      <c r="E335" s="2">
        <v>48394</v>
      </c>
    </row>
    <row r="336" spans="5:5" x14ac:dyDescent="0.25">
      <c r="E336" s="2">
        <v>48401</v>
      </c>
    </row>
    <row r="337" spans="5:5" x14ac:dyDescent="0.25">
      <c r="E337" s="2">
        <v>48408</v>
      </c>
    </row>
    <row r="338" spans="5:5" x14ac:dyDescent="0.25">
      <c r="E338" s="2">
        <v>48415</v>
      </c>
    </row>
    <row r="339" spans="5:5" x14ac:dyDescent="0.25">
      <c r="E339" s="2">
        <f t="shared" ref="E339:E370" ca="1" si="23">TODAY()</f>
        <v>46231</v>
      </c>
    </row>
    <row r="340" spans="5:5" x14ac:dyDescent="0.25">
      <c r="E340" s="2">
        <v>48422</v>
      </c>
    </row>
    <row r="341" spans="5:5" x14ac:dyDescent="0.25">
      <c r="E341" s="2">
        <v>48429</v>
      </c>
    </row>
    <row r="342" spans="5:5" x14ac:dyDescent="0.25">
      <c r="E342" s="2">
        <v>48436</v>
      </c>
    </row>
    <row r="343" spans="5:5" x14ac:dyDescent="0.25">
      <c r="E343" s="2">
        <v>48443</v>
      </c>
    </row>
    <row r="344" spans="5:5" x14ac:dyDescent="0.25">
      <c r="E344" s="2">
        <v>48450</v>
      </c>
    </row>
    <row r="345" spans="5:5" x14ac:dyDescent="0.25">
      <c r="E345" s="2">
        <v>48457</v>
      </c>
    </row>
    <row r="346" spans="5:5" x14ac:dyDescent="0.25">
      <c r="E346" s="2">
        <v>48464</v>
      </c>
    </row>
    <row r="347" spans="5:5" x14ac:dyDescent="0.25">
      <c r="E347" s="2">
        <v>48471</v>
      </c>
    </row>
    <row r="348" spans="5:5" x14ac:dyDescent="0.25">
      <c r="E348" s="2">
        <v>48478</v>
      </c>
    </row>
    <row r="349" spans="5:5" x14ac:dyDescent="0.25">
      <c r="E349" s="2">
        <v>48485</v>
      </c>
    </row>
    <row r="350" spans="5:5" x14ac:dyDescent="0.25">
      <c r="E350" s="2">
        <v>48492</v>
      </c>
    </row>
    <row r="351" spans="5:5" x14ac:dyDescent="0.25">
      <c r="E351" s="2">
        <v>48499</v>
      </c>
    </row>
    <row r="352" spans="5:5" x14ac:dyDescent="0.25">
      <c r="E352" s="2">
        <v>48506</v>
      </c>
    </row>
    <row r="353" spans="5:5" x14ac:dyDescent="0.25">
      <c r="E353" s="2">
        <f t="shared" ref="E353:E384" ca="1" si="24">TODAY()</f>
        <v>46231</v>
      </c>
    </row>
    <row r="354" spans="5:5" x14ac:dyDescent="0.25">
      <c r="E354" s="2">
        <v>48513</v>
      </c>
    </row>
    <row r="355" spans="5:5" x14ac:dyDescent="0.25">
      <c r="E355" s="2">
        <v>48520</v>
      </c>
    </row>
    <row r="356" spans="5:5" x14ac:dyDescent="0.25">
      <c r="E356" s="2">
        <v>48527</v>
      </c>
    </row>
    <row r="357" spans="5:5" x14ac:dyDescent="0.25">
      <c r="E357" s="2">
        <v>48534</v>
      </c>
    </row>
    <row r="358" spans="5:5" x14ac:dyDescent="0.25">
      <c r="E358" s="2">
        <v>48541</v>
      </c>
    </row>
    <row r="359" spans="5:5" x14ac:dyDescent="0.25">
      <c r="E359" s="2">
        <v>48548</v>
      </c>
    </row>
    <row r="360" spans="5:5" x14ac:dyDescent="0.25">
      <c r="E360" s="2">
        <v>48555</v>
      </c>
    </row>
    <row r="361" spans="5:5" x14ac:dyDescent="0.25">
      <c r="E361" s="2">
        <v>48562</v>
      </c>
    </row>
    <row r="362" spans="5:5" x14ac:dyDescent="0.25">
      <c r="E362" s="2">
        <v>48569</v>
      </c>
    </row>
    <row r="363" spans="5:5" x14ac:dyDescent="0.25">
      <c r="E363" s="2">
        <v>48576</v>
      </c>
    </row>
    <row r="364" spans="5:5" x14ac:dyDescent="0.25">
      <c r="E364" s="2">
        <v>48583</v>
      </c>
    </row>
    <row r="365" spans="5:5" x14ac:dyDescent="0.25">
      <c r="E365" s="2">
        <v>48590</v>
      </c>
    </row>
    <row r="366" spans="5:5" x14ac:dyDescent="0.25">
      <c r="E366" s="2">
        <v>48597</v>
      </c>
    </row>
    <row r="367" spans="5:5" x14ac:dyDescent="0.25">
      <c r="E367" s="2">
        <f t="shared" ref="E367:E398" ca="1" si="25">TODAY()</f>
        <v>46231</v>
      </c>
    </row>
    <row r="368" spans="5:5" x14ac:dyDescent="0.25">
      <c r="E368" s="2">
        <v>48604</v>
      </c>
    </row>
    <row r="369" spans="5:5" x14ac:dyDescent="0.25">
      <c r="E369" s="2">
        <v>48611</v>
      </c>
    </row>
    <row r="370" spans="5:5" x14ac:dyDescent="0.25">
      <c r="E370" s="2">
        <v>48618</v>
      </c>
    </row>
    <row r="371" spans="5:5" x14ac:dyDescent="0.25">
      <c r="E371" s="2">
        <v>48625</v>
      </c>
    </row>
    <row r="372" spans="5:5" x14ac:dyDescent="0.25">
      <c r="E372" s="2">
        <v>48632</v>
      </c>
    </row>
    <row r="373" spans="5:5" x14ac:dyDescent="0.25">
      <c r="E373" s="2">
        <v>48639</v>
      </c>
    </row>
    <row r="374" spans="5:5" x14ac:dyDescent="0.25">
      <c r="E374" s="2">
        <v>48646</v>
      </c>
    </row>
    <row r="375" spans="5:5" x14ac:dyDescent="0.25">
      <c r="E375" s="2">
        <v>48653</v>
      </c>
    </row>
    <row r="376" spans="5:5" x14ac:dyDescent="0.25">
      <c r="E376" s="2">
        <v>48660</v>
      </c>
    </row>
    <row r="377" spans="5:5" x14ac:dyDescent="0.25">
      <c r="E377" s="2">
        <v>48667</v>
      </c>
    </row>
    <row r="378" spans="5:5" x14ac:dyDescent="0.25">
      <c r="E378" s="2">
        <v>48674</v>
      </c>
    </row>
    <row r="379" spans="5:5" x14ac:dyDescent="0.25">
      <c r="E379" s="2">
        <v>48681</v>
      </c>
    </row>
    <row r="380" spans="5:5" x14ac:dyDescent="0.25">
      <c r="E380" s="2">
        <v>48688</v>
      </c>
    </row>
    <row r="381" spans="5:5" x14ac:dyDescent="0.25">
      <c r="E381" s="2">
        <f t="shared" ref="E381:E412" ca="1" si="26">TODAY()</f>
        <v>46231</v>
      </c>
    </row>
    <row r="382" spans="5:5" x14ac:dyDescent="0.25">
      <c r="E382" s="2">
        <v>48695</v>
      </c>
    </row>
    <row r="383" spans="5:5" x14ac:dyDescent="0.25">
      <c r="E383" s="2">
        <v>48702</v>
      </c>
    </row>
    <row r="384" spans="5:5" x14ac:dyDescent="0.25">
      <c r="E384" s="2">
        <v>48709</v>
      </c>
    </row>
    <row r="385" spans="5:5" x14ac:dyDescent="0.25">
      <c r="E385" s="2">
        <v>48716</v>
      </c>
    </row>
    <row r="386" spans="5:5" x14ac:dyDescent="0.25">
      <c r="E386" s="2">
        <v>48723</v>
      </c>
    </row>
    <row r="387" spans="5:5" x14ac:dyDescent="0.25">
      <c r="E387" s="2">
        <v>48730</v>
      </c>
    </row>
    <row r="388" spans="5:5" x14ac:dyDescent="0.25">
      <c r="E388" s="2">
        <v>48737</v>
      </c>
    </row>
    <row r="389" spans="5:5" x14ac:dyDescent="0.25">
      <c r="E389" s="2">
        <v>48744</v>
      </c>
    </row>
    <row r="390" spans="5:5" x14ac:dyDescent="0.25">
      <c r="E390" s="2">
        <v>48751</v>
      </c>
    </row>
    <row r="391" spans="5:5" x14ac:dyDescent="0.25">
      <c r="E391" s="2">
        <v>48758</v>
      </c>
    </row>
    <row r="392" spans="5:5" x14ac:dyDescent="0.25">
      <c r="E392" s="2">
        <v>48765</v>
      </c>
    </row>
    <row r="393" spans="5:5" x14ac:dyDescent="0.25">
      <c r="E393" s="2">
        <v>48772</v>
      </c>
    </row>
    <row r="394" spans="5:5" x14ac:dyDescent="0.25">
      <c r="E394" s="2">
        <v>48779</v>
      </c>
    </row>
    <row r="395" spans="5:5" x14ac:dyDescent="0.25">
      <c r="E395" s="2">
        <f t="shared" ref="E395:E426" ca="1" si="27">TODAY()</f>
        <v>46231</v>
      </c>
    </row>
    <row r="396" spans="5:5" x14ac:dyDescent="0.25">
      <c r="E396" s="2">
        <v>48786</v>
      </c>
    </row>
    <row r="397" spans="5:5" x14ac:dyDescent="0.25">
      <c r="E397" s="2">
        <v>48793</v>
      </c>
    </row>
    <row r="398" spans="5:5" x14ac:dyDescent="0.25">
      <c r="E398" s="2">
        <v>48800</v>
      </c>
    </row>
    <row r="399" spans="5:5" x14ac:dyDescent="0.25">
      <c r="E399" s="2">
        <v>48807</v>
      </c>
    </row>
    <row r="400" spans="5:5" x14ac:dyDescent="0.25">
      <c r="E400" s="2">
        <v>48814</v>
      </c>
    </row>
    <row r="401" spans="5:5" x14ac:dyDescent="0.25">
      <c r="E401" s="2">
        <v>48821</v>
      </c>
    </row>
    <row r="402" spans="5:5" x14ac:dyDescent="0.25">
      <c r="E402" s="2">
        <v>48828</v>
      </c>
    </row>
    <row r="403" spans="5:5" x14ac:dyDescent="0.25">
      <c r="E403" s="2">
        <v>48835</v>
      </c>
    </row>
    <row r="404" spans="5:5" x14ac:dyDescent="0.25">
      <c r="E404" s="2">
        <v>48842</v>
      </c>
    </row>
    <row r="405" spans="5:5" x14ac:dyDescent="0.25">
      <c r="E405" s="2">
        <v>48849</v>
      </c>
    </row>
    <row r="406" spans="5:5" x14ac:dyDescent="0.25">
      <c r="E406" s="2">
        <v>48856</v>
      </c>
    </row>
    <row r="407" spans="5:5" x14ac:dyDescent="0.25">
      <c r="E407" s="2">
        <v>48863</v>
      </c>
    </row>
    <row r="408" spans="5:5" x14ac:dyDescent="0.25">
      <c r="E408" s="2">
        <v>48870</v>
      </c>
    </row>
    <row r="409" spans="5:5" x14ac:dyDescent="0.25">
      <c r="E409" s="2">
        <f t="shared" ref="E409:E452" ca="1" si="28">TODAY()</f>
        <v>46231</v>
      </c>
    </row>
    <row r="410" spans="5:5" x14ac:dyDescent="0.25">
      <c r="E410" s="2">
        <v>48877</v>
      </c>
    </row>
    <row r="411" spans="5:5" x14ac:dyDescent="0.25">
      <c r="E411" s="2">
        <v>48884</v>
      </c>
    </row>
    <row r="412" spans="5:5" x14ac:dyDescent="0.25">
      <c r="E412" s="2">
        <v>48891</v>
      </c>
    </row>
    <row r="413" spans="5:5" x14ac:dyDescent="0.25">
      <c r="E413" s="2">
        <v>48898</v>
      </c>
    </row>
    <row r="414" spans="5:5" x14ac:dyDescent="0.25">
      <c r="E414" s="2">
        <v>48905</v>
      </c>
    </row>
    <row r="415" spans="5:5" x14ac:dyDescent="0.25">
      <c r="E415" s="2">
        <v>48912</v>
      </c>
    </row>
    <row r="416" spans="5:5" x14ac:dyDescent="0.25">
      <c r="E416" s="2">
        <v>48919</v>
      </c>
    </row>
    <row r="417" spans="5:5" x14ac:dyDescent="0.25">
      <c r="E417" s="2">
        <v>48926</v>
      </c>
    </row>
    <row r="418" spans="5:5" x14ac:dyDescent="0.25">
      <c r="E418" s="2">
        <v>48933</v>
      </c>
    </row>
    <row r="419" spans="5:5" x14ac:dyDescent="0.25">
      <c r="E419" s="2">
        <v>48940</v>
      </c>
    </row>
    <row r="420" spans="5:5" x14ac:dyDescent="0.25">
      <c r="E420" s="2">
        <v>48947</v>
      </c>
    </row>
    <row r="421" spans="5:5" x14ac:dyDescent="0.25">
      <c r="E421" s="2">
        <v>48954</v>
      </c>
    </row>
    <row r="422" spans="5:5" x14ac:dyDescent="0.25">
      <c r="E422" s="2">
        <v>48961</v>
      </c>
    </row>
    <row r="423" spans="5:5" x14ac:dyDescent="0.25">
      <c r="E423" s="2">
        <f t="shared" ref="E423:E452" ca="1" si="29">TODAY()</f>
        <v>46231</v>
      </c>
    </row>
    <row r="424" spans="5:5" x14ac:dyDescent="0.25">
      <c r="E424" s="2">
        <v>48968</v>
      </c>
    </row>
    <row r="425" spans="5:5" x14ac:dyDescent="0.25">
      <c r="E425" s="2">
        <v>48975</v>
      </c>
    </row>
    <row r="426" spans="5:5" x14ac:dyDescent="0.25">
      <c r="E426" s="2">
        <v>48982</v>
      </c>
    </row>
    <row r="427" spans="5:5" x14ac:dyDescent="0.25">
      <c r="E427" s="2">
        <v>48989</v>
      </c>
    </row>
    <row r="428" spans="5:5" x14ac:dyDescent="0.25">
      <c r="E428" s="2">
        <v>48996</v>
      </c>
    </row>
    <row r="429" spans="5:5" x14ac:dyDescent="0.25">
      <c r="E429" s="2">
        <v>49003</v>
      </c>
    </row>
    <row r="430" spans="5:5" x14ac:dyDescent="0.25">
      <c r="E430" s="2">
        <v>49010</v>
      </c>
    </row>
    <row r="431" spans="5:5" x14ac:dyDescent="0.25">
      <c r="E431" s="2">
        <v>49017</v>
      </c>
    </row>
    <row r="432" spans="5:5" x14ac:dyDescent="0.25">
      <c r="E432" s="2">
        <v>49024</v>
      </c>
    </row>
    <row r="433" spans="5:5" x14ac:dyDescent="0.25">
      <c r="E433" s="2">
        <v>49031</v>
      </c>
    </row>
    <row r="434" spans="5:5" x14ac:dyDescent="0.25">
      <c r="E434" s="2">
        <v>49038</v>
      </c>
    </row>
    <row r="435" spans="5:5" x14ac:dyDescent="0.25">
      <c r="E435" s="2">
        <v>49045</v>
      </c>
    </row>
    <row r="436" spans="5:5" x14ac:dyDescent="0.25">
      <c r="E436" s="2">
        <v>49052</v>
      </c>
    </row>
    <row r="437" spans="5:5" x14ac:dyDescent="0.25">
      <c r="E437" s="2">
        <f t="shared" ref="E437:E452" ca="1" si="30">TODAY()</f>
        <v>46231</v>
      </c>
    </row>
    <row r="438" spans="5:5" x14ac:dyDescent="0.25">
      <c r="E438" s="2">
        <v>49059</v>
      </c>
    </row>
    <row r="439" spans="5:5" x14ac:dyDescent="0.25">
      <c r="E439" s="2">
        <v>49066</v>
      </c>
    </row>
    <row r="440" spans="5:5" x14ac:dyDescent="0.25">
      <c r="E440" s="2">
        <v>49073</v>
      </c>
    </row>
    <row r="441" spans="5:5" x14ac:dyDescent="0.25">
      <c r="E441" s="2">
        <v>49080</v>
      </c>
    </row>
    <row r="442" spans="5:5" x14ac:dyDescent="0.25">
      <c r="E442" s="2">
        <v>49087</v>
      </c>
    </row>
    <row r="443" spans="5:5" x14ac:dyDescent="0.25">
      <c r="E443" s="2">
        <v>49094</v>
      </c>
    </row>
    <row r="444" spans="5:5" x14ac:dyDescent="0.25">
      <c r="E444" s="2">
        <v>49101</v>
      </c>
    </row>
    <row r="445" spans="5:5" x14ac:dyDescent="0.25">
      <c r="E445" s="2">
        <v>49108</v>
      </c>
    </row>
    <row r="446" spans="5:5" x14ac:dyDescent="0.25">
      <c r="E446" s="2">
        <v>49115</v>
      </c>
    </row>
    <row r="447" spans="5:5" x14ac:dyDescent="0.25">
      <c r="E447" s="2">
        <v>49122</v>
      </c>
    </row>
    <row r="448" spans="5:5" x14ac:dyDescent="0.25">
      <c r="E448" s="2">
        <v>49129</v>
      </c>
    </row>
    <row r="449" spans="5:5" x14ac:dyDescent="0.25">
      <c r="E449" s="2">
        <v>49136</v>
      </c>
    </row>
    <row r="450" spans="5:5" x14ac:dyDescent="0.25">
      <c r="E450" s="2">
        <v>49143</v>
      </c>
    </row>
    <row r="451" spans="5:5" x14ac:dyDescent="0.25">
      <c r="E451" s="2">
        <f t="shared" ref="E451:E452" ca="1" si="31">TODAY()</f>
        <v>46231</v>
      </c>
    </row>
    <row r="452" spans="5:5" x14ac:dyDescent="0.25">
      <c r="E452" s="2">
        <v>49150</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2D779-98C9-471A-835F-3443F726AFF8}">
  <sheetPr codeName="Sheet3"/>
  <dimension ref="A3:K46"/>
  <sheetViews>
    <sheetView showGridLines="0" topLeftCell="A4" workbookViewId="0">
      <selection activeCell="L44" sqref="L44"/>
    </sheetView>
  </sheetViews>
  <sheetFormatPr defaultRowHeight="15" x14ac:dyDescent="0.25"/>
  <cols>
    <col min="1" max="1" width="18.42578125" bestFit="1" customWidth="1"/>
    <col min="2" max="2" width="16.28515625" bestFit="1" customWidth="1"/>
    <col min="3" max="3" width="13.42578125" bestFit="1" customWidth="1"/>
    <col min="4" max="7" width="14.85546875" bestFit="1" customWidth="1"/>
    <col min="11" max="11" width="13.85546875" bestFit="1" customWidth="1"/>
  </cols>
  <sheetData>
    <row r="3" spans="1:7" x14ac:dyDescent="0.25">
      <c r="A3" s="4" t="s">
        <v>159</v>
      </c>
      <c r="B3" s="4" t="s">
        <v>144</v>
      </c>
    </row>
    <row r="4" spans="1:7" x14ac:dyDescent="0.25">
      <c r="A4" s="4" t="s">
        <v>146</v>
      </c>
      <c r="B4" t="s">
        <v>16</v>
      </c>
      <c r="C4" t="s">
        <v>12</v>
      </c>
      <c r="D4" t="s">
        <v>20</v>
      </c>
      <c r="E4" t="s">
        <v>24</v>
      </c>
      <c r="F4" t="s">
        <v>36</v>
      </c>
      <c r="G4" t="s">
        <v>145</v>
      </c>
    </row>
    <row r="5" spans="1:7" x14ac:dyDescent="0.25">
      <c r="A5" s="6" t="s">
        <v>147</v>
      </c>
      <c r="B5" s="7">
        <v>139800</v>
      </c>
      <c r="C5" s="7"/>
      <c r="D5" s="7">
        <v>48600</v>
      </c>
      <c r="E5" s="7">
        <v>79200</v>
      </c>
      <c r="F5" s="7">
        <v>89600</v>
      </c>
      <c r="G5" s="7">
        <v>357200</v>
      </c>
    </row>
    <row r="6" spans="1:7" x14ac:dyDescent="0.25">
      <c r="A6" s="6" t="s">
        <v>148</v>
      </c>
      <c r="B6" s="7">
        <v>236400</v>
      </c>
      <c r="C6" s="7">
        <v>105100</v>
      </c>
      <c r="D6" s="7"/>
      <c r="E6" s="7">
        <v>183900</v>
      </c>
      <c r="F6" s="7">
        <v>127200</v>
      </c>
      <c r="G6" s="7">
        <v>652600</v>
      </c>
    </row>
    <row r="7" spans="1:7" x14ac:dyDescent="0.25">
      <c r="A7" s="6" t="s">
        <v>149</v>
      </c>
      <c r="B7" s="7">
        <v>54600</v>
      </c>
      <c r="C7" s="7">
        <v>70200</v>
      </c>
      <c r="D7" s="7">
        <v>172900</v>
      </c>
      <c r="E7" s="7">
        <v>50000</v>
      </c>
      <c r="F7" s="7">
        <v>133700</v>
      </c>
      <c r="G7" s="7">
        <v>481400</v>
      </c>
    </row>
    <row r="8" spans="1:7" x14ac:dyDescent="0.25">
      <c r="A8" s="6" t="s">
        <v>150</v>
      </c>
      <c r="B8" s="7">
        <v>119000</v>
      </c>
      <c r="C8" s="7">
        <v>18000</v>
      </c>
      <c r="D8" s="7"/>
      <c r="E8" s="7">
        <v>83300</v>
      </c>
      <c r="F8" s="7"/>
      <c r="G8" s="7">
        <v>220300</v>
      </c>
    </row>
    <row r="9" spans="1:7" x14ac:dyDescent="0.25">
      <c r="A9" s="6" t="s">
        <v>151</v>
      </c>
      <c r="B9" s="7">
        <v>14000</v>
      </c>
      <c r="C9" s="7">
        <v>94300</v>
      </c>
      <c r="D9" s="7">
        <v>209300</v>
      </c>
      <c r="E9" s="7">
        <v>60600</v>
      </c>
      <c r="F9" s="7">
        <v>346200</v>
      </c>
      <c r="G9" s="7">
        <v>724400</v>
      </c>
    </row>
    <row r="10" spans="1:7" x14ac:dyDescent="0.25">
      <c r="A10" s="6" t="s">
        <v>152</v>
      </c>
      <c r="B10" s="7">
        <v>59700</v>
      </c>
      <c r="C10" s="7">
        <v>87900</v>
      </c>
      <c r="D10" s="7">
        <v>180000</v>
      </c>
      <c r="E10" s="7">
        <v>149200</v>
      </c>
      <c r="F10" s="7">
        <v>68100</v>
      </c>
      <c r="G10" s="7">
        <v>544900</v>
      </c>
    </row>
    <row r="11" spans="1:7" x14ac:dyDescent="0.25">
      <c r="A11" s="6" t="s">
        <v>153</v>
      </c>
      <c r="B11" s="7"/>
      <c r="C11" s="7">
        <v>40000</v>
      </c>
      <c r="D11" s="7">
        <v>35500</v>
      </c>
      <c r="E11" s="7">
        <v>15600</v>
      </c>
      <c r="F11" s="7"/>
      <c r="G11" s="7">
        <v>91100</v>
      </c>
    </row>
    <row r="12" spans="1:7" x14ac:dyDescent="0.25">
      <c r="A12" s="6" t="s">
        <v>154</v>
      </c>
      <c r="B12" s="7">
        <v>68000</v>
      </c>
      <c r="C12" s="7">
        <v>90200</v>
      </c>
      <c r="D12" s="7">
        <v>218200</v>
      </c>
      <c r="E12" s="7"/>
      <c r="F12" s="7">
        <v>115900</v>
      </c>
      <c r="G12" s="7">
        <v>492300</v>
      </c>
    </row>
    <row r="13" spans="1:7" x14ac:dyDescent="0.25">
      <c r="A13" s="6" t="s">
        <v>155</v>
      </c>
      <c r="B13" s="7"/>
      <c r="C13" s="7">
        <v>173600</v>
      </c>
      <c r="D13" s="7">
        <v>44900</v>
      </c>
      <c r="E13" s="7">
        <v>76000</v>
      </c>
      <c r="F13" s="7">
        <v>40100</v>
      </c>
      <c r="G13" s="7">
        <v>334600</v>
      </c>
    </row>
    <row r="14" spans="1:7" x14ac:dyDescent="0.25">
      <c r="A14" s="6" t="s">
        <v>156</v>
      </c>
      <c r="B14" s="7">
        <v>56400</v>
      </c>
      <c r="C14" s="7">
        <v>42200</v>
      </c>
      <c r="D14" s="7">
        <v>59000</v>
      </c>
      <c r="E14" s="7">
        <v>119400</v>
      </c>
      <c r="F14" s="7">
        <v>63600</v>
      </c>
      <c r="G14" s="7">
        <v>340600</v>
      </c>
    </row>
    <row r="15" spans="1:7" x14ac:dyDescent="0.25">
      <c r="A15" s="6" t="s">
        <v>157</v>
      </c>
      <c r="B15" s="7">
        <v>132400</v>
      </c>
      <c r="C15" s="7">
        <v>127600</v>
      </c>
      <c r="D15" s="7">
        <v>124400</v>
      </c>
      <c r="E15" s="7">
        <v>224000</v>
      </c>
      <c r="F15" s="7">
        <v>114400</v>
      </c>
      <c r="G15" s="7">
        <v>722800</v>
      </c>
    </row>
    <row r="16" spans="1:7" x14ac:dyDescent="0.25">
      <c r="A16" s="6" t="s">
        <v>158</v>
      </c>
      <c r="B16" s="7">
        <v>215900</v>
      </c>
      <c r="C16" s="7">
        <v>119200</v>
      </c>
      <c r="D16" s="7"/>
      <c r="E16" s="7">
        <v>15000</v>
      </c>
      <c r="F16" s="7"/>
      <c r="G16" s="7">
        <v>350100</v>
      </c>
    </row>
    <row r="17" spans="1:11" x14ac:dyDescent="0.25">
      <c r="A17" s="6" t="s">
        <v>145</v>
      </c>
      <c r="B17" s="7">
        <v>1096200</v>
      </c>
      <c r="C17" s="7">
        <v>968300</v>
      </c>
      <c r="D17" s="7">
        <v>1092800</v>
      </c>
      <c r="E17" s="7">
        <v>1056200</v>
      </c>
      <c r="F17" s="7">
        <v>1098800</v>
      </c>
      <c r="G17" s="7">
        <v>5312300</v>
      </c>
    </row>
    <row r="27" spans="1:11" x14ac:dyDescent="0.25">
      <c r="A27" s="5" t="s">
        <v>146</v>
      </c>
      <c r="B27" s="5" t="s">
        <v>16</v>
      </c>
      <c r="C27" s="5" t="s">
        <v>12</v>
      </c>
      <c r="D27" s="5" t="s">
        <v>20</v>
      </c>
      <c r="E27" s="5" t="s">
        <v>24</v>
      </c>
      <c r="F27" s="5" t="s">
        <v>36</v>
      </c>
      <c r="G27" s="5" t="s">
        <v>145</v>
      </c>
      <c r="J27" s="5" t="s">
        <v>143</v>
      </c>
      <c r="K27" t="s">
        <v>20</v>
      </c>
    </row>
    <row r="28" spans="1:11" x14ac:dyDescent="0.25">
      <c r="A28" s="6" t="s">
        <v>147</v>
      </c>
      <c r="B28" s="7">
        <v>139800</v>
      </c>
      <c r="C28" s="7"/>
      <c r="D28" s="7">
        <v>48600</v>
      </c>
      <c r="E28" s="7">
        <v>79200</v>
      </c>
      <c r="F28" s="7">
        <v>89600</v>
      </c>
      <c r="G28" s="7">
        <v>357200</v>
      </c>
      <c r="J28" s="5" t="s">
        <v>160</v>
      </c>
      <c r="K28" t="s">
        <v>152</v>
      </c>
    </row>
    <row r="29" spans="1:11" x14ac:dyDescent="0.25">
      <c r="A29" s="6" t="s">
        <v>148</v>
      </c>
      <c r="B29" s="7">
        <v>236400</v>
      </c>
      <c r="C29" s="7">
        <v>105100</v>
      </c>
      <c r="D29" s="7"/>
      <c r="E29" s="7">
        <v>183900</v>
      </c>
      <c r="F29" s="7">
        <v>127200</v>
      </c>
      <c r="G29" s="7">
        <v>652600</v>
      </c>
      <c r="J29" s="5" t="s">
        <v>161</v>
      </c>
      <c r="K29" s="8">
        <f>IFERROR(INDEX(B28:G39,MATCH(K28,A28:A39,0),MATCH(K27,B27:G27,0)), "No Data found")</f>
        <v>180000</v>
      </c>
    </row>
    <row r="30" spans="1:11" x14ac:dyDescent="0.25">
      <c r="A30" s="6" t="s">
        <v>149</v>
      </c>
      <c r="B30" s="7">
        <v>54600</v>
      </c>
      <c r="C30" s="7">
        <v>70200</v>
      </c>
      <c r="D30" s="7">
        <v>172900</v>
      </c>
      <c r="E30" s="7">
        <v>50000</v>
      </c>
      <c r="F30" s="7">
        <v>133700</v>
      </c>
      <c r="G30" s="7">
        <v>481400</v>
      </c>
    </row>
    <row r="31" spans="1:11" x14ac:dyDescent="0.25">
      <c r="A31" s="6" t="s">
        <v>150</v>
      </c>
      <c r="B31" s="7">
        <v>119000</v>
      </c>
      <c r="C31" s="7">
        <v>18000</v>
      </c>
      <c r="D31" s="7"/>
      <c r="E31" s="7">
        <v>83300</v>
      </c>
      <c r="F31" s="7"/>
      <c r="G31" s="7">
        <v>220300</v>
      </c>
    </row>
    <row r="32" spans="1:11" x14ac:dyDescent="0.25">
      <c r="A32" s="6" t="s">
        <v>151</v>
      </c>
      <c r="B32" s="7">
        <v>14000</v>
      </c>
      <c r="C32" s="7">
        <v>94300</v>
      </c>
      <c r="D32" s="7">
        <v>209300</v>
      </c>
      <c r="E32" s="7">
        <v>60600</v>
      </c>
      <c r="F32" s="7">
        <v>346200</v>
      </c>
      <c r="G32" s="7">
        <v>724400</v>
      </c>
    </row>
    <row r="33" spans="1:7" x14ac:dyDescent="0.25">
      <c r="A33" s="6" t="s">
        <v>152</v>
      </c>
      <c r="B33" s="7">
        <v>59700</v>
      </c>
      <c r="C33" s="7">
        <v>87900</v>
      </c>
      <c r="D33" s="7">
        <v>180000</v>
      </c>
      <c r="E33" s="7">
        <v>149200</v>
      </c>
      <c r="F33" s="7">
        <v>68100</v>
      </c>
      <c r="G33" s="7">
        <v>544900</v>
      </c>
    </row>
    <row r="34" spans="1:7" x14ac:dyDescent="0.25">
      <c r="A34" s="6" t="s">
        <v>153</v>
      </c>
      <c r="B34" s="7"/>
      <c r="C34" s="7">
        <v>40000</v>
      </c>
      <c r="D34" s="7">
        <v>35500</v>
      </c>
      <c r="E34" s="7">
        <v>15600</v>
      </c>
      <c r="F34" s="7"/>
      <c r="G34" s="7">
        <v>91100</v>
      </c>
    </row>
    <row r="35" spans="1:7" x14ac:dyDescent="0.25">
      <c r="A35" s="6" t="s">
        <v>154</v>
      </c>
      <c r="B35" s="7">
        <v>68000</v>
      </c>
      <c r="C35" s="7">
        <v>90200</v>
      </c>
      <c r="D35" s="7">
        <v>218200</v>
      </c>
      <c r="E35" s="7"/>
      <c r="F35" s="7">
        <v>115900</v>
      </c>
      <c r="G35" s="7">
        <v>492300</v>
      </c>
    </row>
    <row r="36" spans="1:7" x14ac:dyDescent="0.25">
      <c r="A36" s="6" t="s">
        <v>155</v>
      </c>
      <c r="B36" s="7"/>
      <c r="C36" s="7">
        <v>173600</v>
      </c>
      <c r="D36" s="7">
        <v>44900</v>
      </c>
      <c r="E36" s="7">
        <v>76000</v>
      </c>
      <c r="F36" s="7">
        <v>40100</v>
      </c>
      <c r="G36" s="7">
        <v>334600</v>
      </c>
    </row>
    <row r="37" spans="1:7" x14ac:dyDescent="0.25">
      <c r="A37" s="6" t="s">
        <v>156</v>
      </c>
      <c r="B37" s="7">
        <v>56400</v>
      </c>
      <c r="C37" s="7">
        <v>42200</v>
      </c>
      <c r="D37" s="7">
        <v>59000</v>
      </c>
      <c r="E37" s="7">
        <v>119400</v>
      </c>
      <c r="F37" s="7">
        <v>63600</v>
      </c>
      <c r="G37" s="7">
        <v>340600</v>
      </c>
    </row>
    <row r="38" spans="1:7" x14ac:dyDescent="0.25">
      <c r="A38" s="6" t="s">
        <v>157</v>
      </c>
      <c r="B38" s="7">
        <v>132400</v>
      </c>
      <c r="C38" s="7">
        <v>127600</v>
      </c>
      <c r="D38" s="7">
        <v>124400</v>
      </c>
      <c r="E38" s="7">
        <v>224000</v>
      </c>
      <c r="F38" s="7">
        <v>114400</v>
      </c>
      <c r="G38" s="7">
        <v>722800</v>
      </c>
    </row>
    <row r="39" spans="1:7" x14ac:dyDescent="0.25">
      <c r="A39" s="6" t="s">
        <v>158</v>
      </c>
      <c r="B39" s="7">
        <v>215900</v>
      </c>
      <c r="C39" s="7">
        <v>119200</v>
      </c>
      <c r="D39" s="7"/>
      <c r="E39" s="7">
        <v>15000</v>
      </c>
      <c r="F39" s="7"/>
      <c r="G39" s="7">
        <v>350100</v>
      </c>
    </row>
    <row r="42" spans="1:7" x14ac:dyDescent="0.25">
      <c r="A42" s="4" t="s">
        <v>159</v>
      </c>
      <c r="B42" s="4" t="s">
        <v>144</v>
      </c>
    </row>
    <row r="43" spans="1:7" x14ac:dyDescent="0.25">
      <c r="A43" s="4" t="s">
        <v>146</v>
      </c>
      <c r="B43" t="s">
        <v>20</v>
      </c>
      <c r="C43" t="s">
        <v>145</v>
      </c>
    </row>
    <row r="44" spans="1:7" x14ac:dyDescent="0.25">
      <c r="A44" s="6" t="s">
        <v>156</v>
      </c>
      <c r="B44" s="7">
        <v>59000</v>
      </c>
      <c r="C44" s="7">
        <v>59000</v>
      </c>
    </row>
    <row r="45" spans="1:7" x14ac:dyDescent="0.25">
      <c r="A45" s="6" t="s">
        <v>157</v>
      </c>
      <c r="B45" s="7">
        <v>46200</v>
      </c>
      <c r="C45" s="7">
        <v>46200</v>
      </c>
    </row>
    <row r="46" spans="1:7" x14ac:dyDescent="0.25">
      <c r="A46" s="6" t="s">
        <v>145</v>
      </c>
      <c r="B46" s="7">
        <v>105200</v>
      </c>
      <c r="C46" s="7">
        <v>105200</v>
      </c>
    </row>
  </sheetData>
  <dataValidations count="2">
    <dataValidation type="list" allowBlank="1" showInputMessage="1" showErrorMessage="1" sqref="K27" xr:uid="{8AC4CA53-75A7-4B9B-AEE6-E45F5534D19D}">
      <formula1>$B$27:$G$27</formula1>
    </dataValidation>
    <dataValidation type="list" allowBlank="1" showInputMessage="1" showErrorMessage="1" sqref="K28" xr:uid="{143ADEAA-AA8A-4D56-934C-7E552D26EC7B}">
      <formula1>$A$28:$A$39</formula1>
    </dataValidation>
  </dataValidation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36AA79-0356-4229-8827-81C7450237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Main</vt:lpstr>
      <vt:lpstr>Form Controll</vt:lpstr>
      <vt:lpstr>Directories</vt:lpstr>
      <vt:lpstr>Two-Way INDEX</vt:lpstr>
      <vt:lpstr>Category</vt:lpstr>
      <vt:lpstr>Main!Criteria</vt:lpstr>
      <vt:lpstr>Sales_Rep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Kacper Cichy</dc:creator>
  <cp:lastModifiedBy>Kacper Cichy</cp:lastModifiedBy>
  <dcterms:created xsi:type="dcterms:W3CDTF">2026-07-28T07:54:03Z</dcterms:created>
  <dcterms:modified xsi:type="dcterms:W3CDTF">2026-07-28T09:26:35Z</dcterms:modified>
</cp:coreProperties>
</file>